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6d245a9e4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Catalog" sheetId="1" r:id="R444d16bc568247a4"/>
    <x:sheet xmlns:r="http://schemas.openxmlformats.org/officeDocument/2006/relationships" name="Faction Missions" sheetId="2" r:id="R3a1c332533544a7d"/>
    <x:sheet xmlns:r="http://schemas.openxmlformats.org/officeDocument/2006/relationships" name="Career Guides" sheetId="3" r:id="Rea59503064c94c1b"/>
    <x:sheet xmlns:r="http://schemas.openxmlformats.org/officeDocument/2006/relationships" name="Google Achievements" sheetId="4" r:id="R1e9c740e641d4deb"/>
    <x:sheet xmlns:r="http://schemas.openxmlformats.org/officeDocument/2006/relationships" name="Task Board" sheetId="5" r:id="Rd1391ca992bf46e1"/>
    <x:sheet xmlns:r="http://schemas.openxmlformats.org/officeDocument/2006/relationships" name="Events and Finale" sheetId="6" r:id="R03488d1e56994fd5"/>
    <x:sheet xmlns:r="http://schemas.openxmlformats.org/officeDocument/2006/relationships" name="Faction Rank Titles" sheetId="7" r:id="R3c758e7436624165"/>
    <x:sheet xmlns:r="http://schemas.openxmlformats.org/officeDocument/2006/relationships" name="Sources" sheetId="8" r:id="Ra59b271317e24c27"/>
    <x:sheet xmlns:r="http://schemas.openxmlformats.org/officeDocument/2006/relationships" name="Missing Data" sheetId="9" r:id="Ra98b5f5973b74765"/>
    <x:sheet xmlns:r="http://schemas.openxmlformats.org/officeDocument/2006/relationships" name="Overview" sheetId="10" r:id="Rd16ccac483c0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7"/>
      <x:color rgb="FFFFFFFF"/>
      <x:name val="Carlito"/>
    </x:font>
    <x:font>
      <x:sz val="10"/>
      <x:color rgb="FF5C7286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18283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FF5F8"/>
      </x:patternFill>
    </x:fill>
    <x:fill>
      <x:patternFill patternType="solid">
        <x:fgColor rgb="FF20496A"/>
      </x:patternFill>
    </x:fill>
    <x:fill>
      <x:patternFill patternType="solid">
        <x:fgColor rgb="FF087F8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bfd0603e94fd0" /><Relationship Type="http://schemas.openxmlformats.org/officeDocument/2006/relationships/theme" Target="/xl/theme/theme1.xml" Id="Rc2f38e49295348ab" /><Relationship Type="http://schemas.openxmlformats.org/officeDocument/2006/relationships/sharedStrings" Target="/xl/sharedStrings.xml" Id="Rc5e75f7c98224878" /><Relationship Type="http://schemas.openxmlformats.org/officeDocument/2006/relationships/worksheet" Target="/xl/worksheets/sheet1.xml" Id="R444d16bc568247a4" /><Relationship Type="http://schemas.openxmlformats.org/officeDocument/2006/relationships/worksheet" Target="/xl/worksheets/sheet2.xml" Id="R3a1c332533544a7d" /><Relationship Type="http://schemas.openxmlformats.org/officeDocument/2006/relationships/worksheet" Target="/xl/worksheets/sheet3.xml" Id="Rea59503064c94c1b" /><Relationship Type="http://schemas.openxmlformats.org/officeDocument/2006/relationships/worksheet" Target="/xl/worksheets/sheet4.xml" Id="R1e9c740e641d4deb" /><Relationship Type="http://schemas.openxmlformats.org/officeDocument/2006/relationships/worksheet" Target="/xl/worksheets/sheet5.xml" Id="Rd1391ca992bf46e1" /><Relationship Type="http://schemas.openxmlformats.org/officeDocument/2006/relationships/worksheet" Target="/xl/worksheets/sheet6.xml" Id="R03488d1e56994fd5" /><Relationship Type="http://schemas.openxmlformats.org/officeDocument/2006/relationships/worksheet" Target="/xl/worksheets/sheet7.xml" Id="R3c758e7436624165" /><Relationship Type="http://schemas.openxmlformats.org/officeDocument/2006/relationships/worksheet" Target="/xl/worksheets/sheet8.xml" Id="Ra59b271317e24c27" /><Relationship Type="http://schemas.openxmlformats.org/officeDocument/2006/relationships/worksheet" Target="/xl/worksheets/sheet9.xml" Id="Ra98b5f5973b74765" /><Relationship Type="http://schemas.openxmlformats.org/officeDocument/2006/relationships/worksheet" Target="/xl/worksheets/sheet10.xml" Id="Rd16ccac483c04a6a" /></Relationships>
</file>

<file path=xl/tables/table1.xml><?xml version="1.0" encoding="utf-8"?>
<x:table xmlns:x="http://schemas.openxmlformats.org/spreadsheetml/2006/main" id="1" name="DurangoTasks" displayName="DurangoTasks" ref="A4:O141" headerRowCount="1" totalsRowCount="0" totalsRowShown="0">
  <x:tableColumns count="15">
    <x:tableColumn id="1" name="ID"/>
    <x:tableColumn id="2" name="System"/>
    <x:tableColumn id="3" name="Task / title"/>
    <x:tableColumn id="4" name="Faction / path"/>
    <x:tableColumn id="5" name="Island / context"/>
    <x:tableColumn id="6" name="Objective / requirement"/>
    <x:tableColumn id="7" name="Target item / enemy"/>
    <x:tableColumn id="8" name="Qty"/>
    <x:tableColumn id="9" name="Min item Lv."/>
    <x:tableColumn id="10" name="Rewards / effects"/>
    <x:tableColumn id="11" name="Recurrence"/>
    <x:tableColumn id="12" name="Evidence"/>
    <x:tableColumn id="13" name="Official task name?"/>
    <x:tableColumn id="14" name="Research notes"/>
    <x:tableColumn id="15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ionQuests" displayName="FactionQuests" ref="A4:O46" headerRowCount="1" totalsRowCount="0" totalsRowShown="0">
  <x:tableColumns count="15">
    <x:tableColumn id="1" name="ID"/>
    <x:tableColumn id="2" name="System"/>
    <x:tableColumn id="3" name="Task / title"/>
    <x:tableColumn id="4" name="Faction / path"/>
    <x:tableColumn id="5" name="Island / context"/>
    <x:tableColumn id="6" name="Objective / requirement"/>
    <x:tableColumn id="7" name="Target item / enemy"/>
    <x:tableColumn id="8" name="Qty"/>
    <x:tableColumn id="9" name="Min item Lv."/>
    <x:tableColumn id="10" name="Rewards / effects"/>
    <x:tableColumn id="11" name="Recurrence"/>
    <x:tableColumn id="12" name="Evidence"/>
    <x:tableColumn id="13" name="Official task name?"/>
    <x:tableColumn id="14" name="Research notes"/>
    <x:tableColumn id="15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reerMilestones" displayName="CareerMilestones" ref="A4:O62" headerRowCount="1" totalsRowCount="0" totalsRowShown="0">
  <x:tableColumns count="15">
    <x:tableColumn id="1" name="ID"/>
    <x:tableColumn id="2" name="System"/>
    <x:tableColumn id="3" name="Task / title"/>
    <x:tableColumn id="4" name="Faction / path"/>
    <x:tableColumn id="5" name="Island / context"/>
    <x:tableColumn id="6" name="Objective / requirement"/>
    <x:tableColumn id="7" name="Target item / enemy"/>
    <x:tableColumn id="8" name="Qty"/>
    <x:tableColumn id="9" name="Min item Lv."/>
    <x:tableColumn id="10" name="Rewards / effects"/>
    <x:tableColumn id="11" name="Recurrence"/>
    <x:tableColumn id="12" name="Evidence"/>
    <x:tableColumn id="13" name="Official task name?"/>
    <x:tableColumn id="14" name="Research notes"/>
    <x:tableColumn id="15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oogleAchievements" displayName="GoogleAchievements" ref="A4:O20" headerRowCount="1" totalsRowCount="0" totalsRowShown="0">
  <x:tableColumns count="15">
    <x:tableColumn id="1" name="ID"/>
    <x:tableColumn id="2" name="System"/>
    <x:tableColumn id="3" name="Task / title"/>
    <x:tableColumn id="4" name="Faction / path"/>
    <x:tableColumn id="5" name="Island / context"/>
    <x:tableColumn id="6" name="Objective / requirement"/>
    <x:tableColumn id="7" name="Target item / enemy"/>
    <x:tableColumn id="8" name="Qty"/>
    <x:tableColumn id="9" name="Min item Lv."/>
    <x:tableColumn id="10" name="Rewards / effects"/>
    <x:tableColumn id="11" name="Recurrence"/>
    <x:tableColumn id="12" name="Evidence"/>
    <x:tableColumn id="13" name="Official task name?"/>
    <x:tableColumn id="14" name="Research notes"/>
    <x:tableColumn id="15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skBoardRecords" displayName="TaskBoardRecords" ref="A4:O18" headerRowCount="1" totalsRowCount="0" totalsRowShown="0">
  <x:tableColumns count="15">
    <x:tableColumn id="1" name="ID"/>
    <x:tableColumn id="2" name="System"/>
    <x:tableColumn id="3" name="Task / title"/>
    <x:tableColumn id="4" name="Faction / path"/>
    <x:tableColumn id="5" name="Island / context"/>
    <x:tableColumn id="6" name="Objective / requirement"/>
    <x:tableColumn id="7" name="Target item / enemy"/>
    <x:tableColumn id="8" name="Qty"/>
    <x:tableColumn id="9" name="Min item Lv."/>
    <x:tableColumn id="10" name="Rewards / effects"/>
    <x:tableColumn id="11" name="Recurrence"/>
    <x:tableColumn id="12" name="Evidence"/>
    <x:tableColumn id="13" name="Official task name?"/>
    <x:tableColumn id="14" name="Research notes"/>
    <x:tableColumn id="15" name="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entsRecords" displayName="EventsRecords" ref="A4:O11" headerRowCount="1" totalsRowCount="0" totalsRowShown="0">
  <x:tableColumns count="15">
    <x:tableColumn id="1" name="ID"/>
    <x:tableColumn id="2" name="System"/>
    <x:tableColumn id="3" name="Task / title"/>
    <x:tableColumn id="4" name="Faction / path"/>
    <x:tableColumn id="5" name="Island / context"/>
    <x:tableColumn id="6" name="Objective / requirement"/>
    <x:tableColumn id="7" name="Target item / enemy"/>
    <x:tableColumn id="8" name="Qty"/>
    <x:tableColumn id="9" name="Min item Lv."/>
    <x:tableColumn id="10" name="Rewards / effects"/>
    <x:tableColumn id="11" name="Recurrence"/>
    <x:tableColumn id="12" name="Evidence"/>
    <x:tableColumn id="13" name="Official task name?"/>
    <x:tableColumn id="14" name="Research notes"/>
    <x:tableColumn id="15" name="Source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actionTitleRewards" displayName="FactionTitleRewards" ref="A4:E24" headerRowCount="1" totalsRowCount="0" totalsRowShown="0">
  <x:tableColumns count="5">
    <x:tableColumn id="1" name="Faction"/>
    <x:tableColumn id="2" name="Rank-title"/>
    <x:tableColumn id="3" name="Original description (paraphrased)"/>
    <x:tableColumn id="4" name="Bonus from title"/>
    <x:tableColumn id="5" name="Source 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urangoResearchSources" displayName="DurangoResearchSources" ref="A4:F19" headerRowCount="1" totalsRowCount="0" totalsRowShown="0">
  <x:tableColumns count="6">
    <x:tableColumn id="1" name="Source ID"/>
    <x:tableColumn id="2" name="Source / archive"/>
    <x:tableColumn id="3" name="Used for"/>
    <x:tableColumn id="4" name="Limitations"/>
    <x:tableColumn id="5" name="Publication era"/>
    <x:tableColumn id="6" name="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urangoDataGaps" displayName="DurangoDataGaps" ref="A4:D16" headerRowCount="1" totalsRowCount="0" totalsRowShown="0">
  <x:tableColumns count="4">
    <x:tableColumn id="1" name="Subsystem"/>
    <x:tableColumn id="2" name="Coverage gap"/>
    <x:tableColumn id="3" name="What is missing"/>
    <x:tableColumn id="4" name="Suggested verification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9df9e8f9e849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2617e649f540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ff817bbc6a40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0c69413e6a42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797b26f4f7e4f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a6e459e681844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562b4c5fecb4c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0636cfdb06343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3acba71963c429b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2" hidden="0" customWidth="1"/>
    <x:col min="4" max="4" width="29" hidden="0" customWidth="1"/>
    <x:col min="5" max="5" width="25" hidden="0" customWidth="1"/>
    <x:col min="6" max="6" width="52" hidden="0" customWidth="1"/>
    <x:col min="7" max="7" width="36" hidden="0" customWidth="1"/>
    <x:col min="8" max="8" width="9" hidden="0" customWidth="1"/>
    <x:col min="9" max="9" width="15" hidden="0" customWidth="1"/>
    <x:col min="10" max="10" width="54" hidden="0" customWidth="1"/>
    <x:col min="11" max="11" width="22" hidden="0" customWidth="1"/>
    <x:col min="12" max="12" width="40" hidden="0" customWidth="1"/>
    <x:col min="13" max="13" width="22" hidden="0" customWidth="1"/>
    <x:col min="14" max="14" width="60" hidden="0" customWidth="1"/>
    <x:col min="15" max="15" width="50" hidden="0" customWidth="1"/>
  </x:cols>
  <x:sheetData>
    <x:row r="1" ht="38" customHeight="1">
      <x:c r="A1" s="4" t="str">
        <x:v>TASK CATALOG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10" t="str">
        <x:v>137 documented or illustrative records | Filters in row 4 | Blank values are unknown, never zero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28" customHeight="1">
      <x:c r="A4" s="17" t="str">
        <x:v>ID</x:v>
      </x:c>
      <x:c r="B4" s="17" t="str">
        <x:v>System</x:v>
      </x:c>
      <x:c r="C4" s="17" t="str">
        <x:v>Task / title</x:v>
      </x:c>
      <x:c r="D4" s="17" t="str">
        <x:v>Faction / path</x:v>
      </x:c>
      <x:c r="E4" s="17" t="str">
        <x:v>Island / context</x:v>
      </x:c>
      <x:c r="F4" s="17" t="str">
        <x:v>Objective / requirement</x:v>
      </x:c>
      <x:c r="G4" s="17" t="str">
        <x:v>Target item / enemy</x:v>
      </x:c>
      <x:c r="H4" s="17" t="str">
        <x:v>Qty</x:v>
      </x:c>
      <x:c r="I4" s="17" t="str">
        <x:v>Min item Lv.</x:v>
      </x:c>
      <x:c r="J4" s="17" t="str">
        <x:v>Rewards / effects</x:v>
      </x:c>
      <x:c r="K4" s="17" t="str">
        <x:v>Recurrence</x:v>
      </x:c>
      <x:c r="L4" s="17" t="str">
        <x:v>Evidence</x:v>
      </x:c>
      <x:c r="M4" s="17" t="str">
        <x:v>Official task name?</x:v>
      </x:c>
      <x:c r="N4" s="17" t="str">
        <x:v>Research notes</x:v>
      </x:c>
      <x:c r="O4" s="17" t="str">
        <x:v>Source URL</x:v>
      </x:c>
    </x:row>
    <x:row r="5" ht="30" customHeight="1">
      <x:c r="A5" s="24" t="str">
        <x:v>DW-T0001</x:v>
      </x:c>
      <x:c r="B5" s="24" t="str">
        <x:v>Communication missions</x:v>
      </x:c>
      <x:c r="C5" s="24" t="str">
        <x:v>Feeding the Hungry</x:v>
      </x:c>
      <x:c r="D5" s="24" t="str">
        <x:v>The Company</x:v>
      </x:c>
      <x:c r="E5" s="24" t="str">
        <x:v>Tundra Lv. 60</x:v>
      </x:c>
      <x:c r="F5" s="24" t="str">
        <x:v>Deliver prepared food</x:v>
      </x:c>
      <x:c r="G5" s="24" t="str">
        <x:v>Meat Dumplings</x:v>
      </x:c>
      <x:c r="H5" s="26" t="n">
        <x:v>6</x:v>
      </x:c>
      <x:c r="I5" s="26" t="n">
        <x:v>40</x:v>
      </x:c>
      <x:c r="J5" s="24" t="str">
        <x:v>T-Stones, EXP, faction trust (exact amount unknown)</x:v>
      </x:c>
      <x:c r="K5" s="24" t="str">
        <x:v>Repeatable / randomized</x:v>
      </x:c>
      <x:c r="L5" s="24" t="str">
        <x:v>Named &amp; sourced</x:v>
      </x:c>
      <x:c r="M5" s="24" t="str">
        <x:v>Yes</x:v>
      </x:c>
      <x:c r="N5" s="24" t="str"/>
      <x:c r="O5" s="24" t="str">
        <x:v>https://www.scribd.com/document/501357601/Durango-Wildlands-Mastersheet</x:v>
      </x:c>
    </x:row>
    <x:row r="6" ht="30" customHeight="1">
      <x:c r="A6" s="24" t="str">
        <x:v>DW-T0002</x:v>
      </x:c>
      <x:c r="B6" s="24" t="str">
        <x:v>Communication missions</x:v>
      </x:c>
      <x:c r="C6" s="24" t="str">
        <x:v>Pot Luck</x:v>
      </x:c>
      <x:c r="D6" s="24" t="str">
        <x:v>The Company</x:v>
      </x:c>
      <x:c r="E6" s="24" t="str">
        <x:v>Tundra Lv. 60</x:v>
      </x:c>
      <x:c r="F6" s="24" t="str">
        <x:v>Deliver crafted vessels</x:v>
      </x:c>
      <x:c r="G6" s="24" t="str">
        <x:v>Pot</x:v>
      </x:c>
      <x:c r="H6" s="26" t="n">
        <x:v>2</x:v>
      </x:c>
      <x:c r="I6" s="26" t="n">
        <x:v>40</x:v>
      </x:c>
      <x:c r="J6" s="24" t="str">
        <x:v>T-Stones, EXP, faction trust (exact amount unknown)</x:v>
      </x:c>
      <x:c r="K6" s="24" t="str">
        <x:v>Repeatable / randomized</x:v>
      </x:c>
      <x:c r="L6" s="24" t="str">
        <x:v>Named &amp; sourced</x:v>
      </x:c>
      <x:c r="M6" s="24" t="str">
        <x:v>Yes</x:v>
      </x:c>
      <x:c r="N6" s="24" t="str"/>
      <x:c r="O6" s="24" t="str">
        <x:v>https://www.scribd.com/document/501357601/Durango-Wildlands-Mastersheet</x:v>
      </x:c>
    </x:row>
    <x:row r="7" ht="30" customHeight="1">
      <x:c r="A7" s="24" t="str">
        <x:v>DW-T0003</x:v>
      </x:c>
      <x:c r="B7" s="24" t="str">
        <x:v>Communication missions</x:v>
      </x:c>
      <x:c r="C7" s="24" t="str">
        <x:v>A Fire in Need</x:v>
      </x:c>
      <x:c r="D7" s="24" t="str">
        <x:v>The Company</x:v>
      </x:c>
      <x:c r="E7" s="24" t="str">
        <x:v>Tundra Lv. 60</x:v>
      </x:c>
      <x:c r="F7" s="24" t="str">
        <x:v>Make and deliver fuel</x:v>
      </x:c>
      <x:c r="G7" s="24" t="str">
        <x:v>Charcoal</x:v>
      </x:c>
      <x:c r="H7" s="26" t="n">
        <x:v>10</x:v>
      </x:c>
      <x:c r="I7" s="26" t="n">
        <x:v>40</x:v>
      </x:c>
      <x:c r="J7" s="24" t="str">
        <x:v>T-Stones, EXP, faction trust (exact amount unknown)</x:v>
      </x:c>
      <x:c r="K7" s="24" t="str">
        <x:v>Repeatable / randomized</x:v>
      </x:c>
      <x:c r="L7" s="24" t="str">
        <x:v>Named &amp; sourced</x:v>
      </x:c>
      <x:c r="M7" s="24" t="str">
        <x:v>Yes</x:v>
      </x:c>
      <x:c r="N7" s="24" t="str"/>
      <x:c r="O7" s="24" t="str">
        <x:v>https://www.scribd.com/document/501357601/Durango-Wildlands-Mastersheet</x:v>
      </x:c>
    </x:row>
    <x:row r="8" ht="30" customHeight="1">
      <x:c r="A8" s="24" t="str">
        <x:v>DW-T0004</x:v>
      </x:c>
      <x:c r="B8" s="24" t="str">
        <x:v>Communication missions</x:v>
      </x:c>
      <x:c r="C8" s="24" t="str">
        <x:v>Hanging by the Strong Thread</x:v>
      </x:c>
      <x:c r="D8" s="24" t="str">
        <x:v>The Company</x:v>
      </x:c>
      <x:c r="E8" s="24" t="str">
        <x:v>Tundra Lv. 60</x:v>
      </x:c>
      <x:c r="F8" s="24" t="str">
        <x:v>Deliver strong/quality thread</x:v>
      </x:c>
      <x:c r="G8" s="24" t="str">
        <x:v>Quality Thread / Strong Thread</x:v>
      </x:c>
      <x:c r="H8" s="26" t="n">
        <x:v>6</x:v>
      </x:c>
      <x:c r="I8" s="26" t="n">
        <x:v>40</x:v>
      </x:c>
      <x:c r="J8" s="24" t="str">
        <x:v>T-Stones, EXP, faction trust (exact amount unknown)</x:v>
      </x:c>
      <x:c r="K8" s="24" t="str">
        <x:v>Repeatable / randomized</x:v>
      </x:c>
      <x:c r="L8" s="24" t="str">
        <x:v>Named &amp; sourced</x:v>
      </x:c>
      <x:c r="M8" s="24" t="str">
        <x:v>Yes</x:v>
      </x:c>
      <x:c r="N8" s="24" t="str"/>
      <x:c r="O8" s="24" t="str">
        <x:v>https://www.scribd.com/document/501357601/Durango-Wildlands-Mastersheet</x:v>
      </x:c>
    </x:row>
    <x:row r="9" ht="30" customHeight="1">
      <x:c r="A9" s="24" t="str">
        <x:v>DW-T0005</x:v>
      </x:c>
      <x:c r="B9" s="24" t="str">
        <x:v>Communication missions</x:v>
      </x:c>
      <x:c r="C9" s="24" t="str">
        <x:v>Graduating Alum</x:v>
      </x:c>
      <x:c r="D9" s="24" t="str">
        <x:v>The Company</x:v>
      </x:c>
      <x:c r="E9" s="24" t="str">
        <x:v>Tundra Lv. 60</x:v>
      </x:c>
      <x:c r="F9" s="24" t="str">
        <x:v>Deliver processing reagent</x:v>
      </x:c>
      <x:c r="G9" s="24" t="str">
        <x:v>Alum</x:v>
      </x:c>
      <x:c r="H9" s="26" t="n">
        <x:v>3</x:v>
      </x:c>
      <x:c r="I9" s="26" t="n">
        <x:v>45</x:v>
      </x:c>
      <x:c r="J9" s="24" t="str">
        <x:v>T-Stones, EXP, faction trust (exact amount unknown)</x:v>
      </x:c>
      <x:c r="K9" s="24" t="str">
        <x:v>Repeatable / randomized</x:v>
      </x:c>
      <x:c r="L9" s="24" t="str">
        <x:v>Named &amp; sourced</x:v>
      </x:c>
      <x:c r="M9" s="24" t="str">
        <x:v>Yes</x:v>
      </x:c>
      <x:c r="N9" s="24" t="str"/>
      <x:c r="O9" s="24" t="str">
        <x:v>https://www.scribd.com/document/501357601/Durango-Wildlands-Mastersheet</x:v>
      </x:c>
    </x:row>
    <x:row r="10" ht="30" customHeight="1">
      <x:c r="A10" s="24" t="str">
        <x:v>DW-T0006</x:v>
      </x:c>
      <x:c r="B10" s="24" t="str">
        <x:v>Communication missions</x:v>
      </x:c>
      <x:c r="C10" s="24" t="str">
        <x:v>Sap for It to Me</x:v>
      </x:c>
      <x:c r="D10" s="24" t="str">
        <x:v>Chlorophyll Forum</x:v>
      </x:c>
      <x:c r="E10" s="24" t="str">
        <x:v>Tundra Lv. 60</x:v>
      </x:c>
      <x:c r="F10" s="24" t="str">
        <x:v>Harvest sap</x:v>
      </x:c>
      <x:c r="G10" s="24" t="str">
        <x:v>Red Fir Sap</x:v>
      </x:c>
      <x:c r="H10" s="26" t="n">
        <x:v>3</x:v>
      </x:c>
      <x:c r="I10" s="26" t="n">
        <x:v>45</x:v>
      </x:c>
      <x:c r="J10" s="24" t="str">
        <x:v>T-Stones, EXP, faction trust (exact amount unknown)</x:v>
      </x:c>
      <x:c r="K10" s="24" t="str">
        <x:v>Repeatable / randomized</x:v>
      </x:c>
      <x:c r="L10" s="24" t="str">
        <x:v>Named &amp; sourced</x:v>
      </x:c>
      <x:c r="M10" s="24" t="str">
        <x:v>Yes</x:v>
      </x:c>
      <x:c r="N10" s="24" t="str">
        <x:v>Punctuation/capitalization normalized</x:v>
      </x:c>
      <x:c r="O10" s="24" t="str">
        <x:v>https://www.scribd.com/document/501357601/Durango-Wildlands-Mastersheet</x:v>
      </x:c>
    </x:row>
    <x:row r="11" ht="30" customHeight="1">
      <x:c r="A11" s="24" t="str">
        <x:v>DW-T0007</x:v>
      </x:c>
      <x:c r="B11" s="24" t="str">
        <x:v>Communication missions</x:v>
      </x:c>
      <x:c r="C11" s="24" t="str">
        <x:v>The Cranberries Are Back</x:v>
      </x:c>
      <x:c r="D11" s="24" t="str">
        <x:v>Chlorophyll Forum</x:v>
      </x:c>
      <x:c r="E11" s="24" t="str">
        <x:v>Tundra Lv. 60</x:v>
      </x:c>
      <x:c r="F11" s="24" t="str">
        <x:v>Harvest berries</x:v>
      </x:c>
      <x:c r="G11" s="24" t="str">
        <x:v>Cranberry</x:v>
      </x:c>
      <x:c r="H11" s="26" t="n">
        <x:v>3</x:v>
      </x:c>
      <x:c r="I11" s="26" t="n">
        <x:v>45</x:v>
      </x:c>
      <x:c r="J11" s="24" t="str">
        <x:v>T-Stones, EXP, faction trust (exact amount unknown)</x:v>
      </x:c>
      <x:c r="K11" s="24" t="str">
        <x:v>Repeatable / randomized</x:v>
      </x:c>
      <x:c r="L11" s="24" t="str">
        <x:v>Named &amp; sourced</x:v>
      </x:c>
      <x:c r="M11" s="24" t="str">
        <x:v>Yes</x:v>
      </x:c>
      <x:c r="N11" s="24" t="str"/>
      <x:c r="O11" s="24" t="str">
        <x:v>https://www.scribd.com/document/501357601/Durango-Wildlands-Mastersheet</x:v>
      </x:c>
    </x:row>
    <x:row r="12" ht="30" customHeight="1">
      <x:c r="A12" s="24" t="str">
        <x:v>DW-T0008</x:v>
      </x:c>
      <x:c r="B12" s="24" t="str">
        <x:v>Communication missions</x:v>
      </x:c>
      <x:c r="C12" s="24" t="str">
        <x:v>Blowing Cotton</x:v>
      </x:c>
      <x:c r="D12" s="24" t="str">
        <x:v>Chlorophyll Forum</x:v>
      </x:c>
      <x:c r="E12" s="24" t="str">
        <x:v>Tundra Lv. 60</x:v>
      </x:c>
      <x:c r="F12" s="24" t="str">
        <x:v>Collect fibers</x:v>
      </x:c>
      <x:c r="G12" s="24" t="str">
        <x:v>Cotton</x:v>
      </x:c>
      <x:c r="H12" s="26" t="n">
        <x:v>3</x:v>
      </x:c>
      <x:c r="I12" s="26" t="n">
        <x:v>45</x:v>
      </x:c>
      <x:c r="J12" s="24" t="str">
        <x:v>T-Stones, EXP, faction trust (exact amount unknown)</x:v>
      </x:c>
      <x:c r="K12" s="24" t="str">
        <x:v>Repeatable / randomized</x:v>
      </x:c>
      <x:c r="L12" s="24" t="str">
        <x:v>Named &amp; sourced</x:v>
      </x:c>
      <x:c r="M12" s="24" t="str">
        <x:v>Yes</x:v>
      </x:c>
      <x:c r="N12" s="24" t="str"/>
      <x:c r="O12" s="24" t="str">
        <x:v>https://www.scribd.com/document/501357601/Durango-Wildlands-Mastersheet</x:v>
      </x:c>
    </x:row>
    <x:row r="13" ht="30" customHeight="1">
      <x:c r="A13" s="24" t="str">
        <x:v>DW-T0009</x:v>
      </x:c>
      <x:c r="B13" s="24" t="str">
        <x:v>Communication missions</x:v>
      </x:c>
      <x:c r="C13" s="24" t="str">
        <x:v>Fungus Research</x:v>
      </x:c>
      <x:c r="D13" s="24" t="str">
        <x:v>Chlorophyll Forum</x:v>
      </x:c>
      <x:c r="E13" s="24" t="str">
        <x:v>Tundra Lv. 60</x:v>
      </x:c>
      <x:c r="F13" s="24" t="str">
        <x:v>Collect mushrooms</x:v>
      </x:c>
      <x:c r="G13" s="24" t="str">
        <x:v>Mushroom</x:v>
      </x:c>
      <x:c r="H13" s="26" t="n">
        <x:v>3</x:v>
      </x:c>
      <x:c r="I13" s="26" t="n">
        <x:v>45</x:v>
      </x:c>
      <x:c r="J13" s="24" t="str">
        <x:v>T-Stones, EXP, faction trust (exact amount unknown)</x:v>
      </x:c>
      <x:c r="K13" s="24" t="str">
        <x:v>Repeatable / randomized</x:v>
      </x:c>
      <x:c r="L13" s="24" t="str">
        <x:v>Named &amp; sourced</x:v>
      </x:c>
      <x:c r="M13" s="24" t="str">
        <x:v>Yes</x:v>
      </x:c>
      <x:c r="N13" s="24" t="str"/>
      <x:c r="O13" s="24" t="str">
        <x:v>https://www.scribd.com/document/501357601/Durango-Wildlands-Mastersheet</x:v>
      </x:c>
    </x:row>
    <x:row r="14" ht="30" customHeight="1">
      <x:c r="A14" s="24" t="str">
        <x:v>DW-T0010</x:v>
      </x:c>
      <x:c r="B14" s="24" t="str">
        <x:v>Communication missions</x:v>
      </x:c>
      <x:c r="C14" s="24" t="str">
        <x:v>Modern Parthenon</x:v>
      </x:c>
      <x:c r="D14" s="24" t="str">
        <x:v>Frontier Coalition</x:v>
      </x:c>
      <x:c r="E14" s="24" t="str">
        <x:v>Tundra Lv. 60</x:v>
      </x:c>
      <x:c r="F14" s="24" t="str">
        <x:v>Craft/deliver building components</x:v>
      </x:c>
      <x:c r="G14" s="24" t="str">
        <x:v>Stone Pillar</x:v>
      </x:c>
      <x:c r="H14" s="26" t="n">
        <x:v>6</x:v>
      </x:c>
      <x:c r="I14" s="26" t="n">
        <x:v>40</x:v>
      </x:c>
      <x:c r="J14" s="24" t="str">
        <x:v>T-Stones, EXP, faction trust (exact amount unknown)</x:v>
      </x:c>
      <x:c r="K14" s="24" t="str">
        <x:v>Repeatable / randomized</x:v>
      </x:c>
      <x:c r="L14" s="24" t="str">
        <x:v>Named &amp; sourced</x:v>
      </x:c>
      <x:c r="M14" s="24" t="str">
        <x:v>Yes</x:v>
      </x:c>
      <x:c r="N14" s="24" t="str"/>
      <x:c r="O14" s="24" t="str">
        <x:v>https://www.scribd.com/document/501357601/Durango-Wildlands-Mastersheet</x:v>
      </x:c>
    </x:row>
    <x:row r="15" ht="30" customHeight="1">
      <x:c r="A15" s="24" t="str">
        <x:v>DW-T0011</x:v>
      </x:c>
      <x:c r="B15" s="24" t="str">
        <x:v>Communication missions</x:v>
      </x:c>
      <x:c r="C15" s="24" t="str">
        <x:v>Lucky Leather</x:v>
      </x:c>
      <x:c r="D15" s="24" t="str">
        <x:v>Frontier Coalition</x:v>
      </x:c>
      <x:c r="E15" s="24" t="str">
        <x:v>Tundra Lv. 60</x:v>
      </x:c>
      <x:c r="F15" s="24" t="str">
        <x:v>Make/deliver leather components</x:v>
      </x:c>
      <x:c r="G15" s="24" t="str">
        <x:v>Leather Strap</x:v>
      </x:c>
      <x:c r="H15" s="26" t="n">
        <x:v>6</x:v>
      </x:c>
      <x:c r="I15" s="26" t="n">
        <x:v>40</x:v>
      </x:c>
      <x:c r="J15" s="24" t="str">
        <x:v>T-Stones, EXP, faction trust (exact amount unknown)</x:v>
      </x:c>
      <x:c r="K15" s="24" t="str">
        <x:v>Repeatable / randomized</x:v>
      </x:c>
      <x:c r="L15" s="24" t="str">
        <x:v>Named &amp; sourced</x:v>
      </x:c>
      <x:c r="M15" s="24" t="str">
        <x:v>Yes</x:v>
      </x:c>
      <x:c r="N15" s="24" t="str"/>
      <x:c r="O15" s="24" t="str">
        <x:v>https://www.scribd.com/document/501357601/Durango-Wildlands-Mastersheet</x:v>
      </x:c>
    </x:row>
    <x:row r="16" ht="30" customHeight="1">
      <x:c r="A16" s="24" t="str">
        <x:v>DW-T0012</x:v>
      </x:c>
      <x:c r="B16" s="24" t="str">
        <x:v>Communication missions</x:v>
      </x:c>
      <x:c r="C16" s="24" t="str">
        <x:v>Nailing Up the Foundation</x:v>
      </x:c>
      <x:c r="D16" s="24" t="str">
        <x:v>Frontier Coalition</x:v>
      </x:c>
      <x:c r="E16" s="24" t="str">
        <x:v>Tundra Lv. 60</x:v>
      </x:c>
      <x:c r="F16" s="24" t="str">
        <x:v>Craft/deliver building fasteners</x:v>
      </x:c>
      <x:c r="G16" s="24" t="str">
        <x:v>Nail</x:v>
      </x:c>
      <x:c r="H16" s="26" t="n">
        <x:v>10</x:v>
      </x:c>
      <x:c r="I16" s="26" t="n">
        <x:v>40</x:v>
      </x:c>
      <x:c r="J16" s="24" t="str">
        <x:v>T-Stones, EXP, faction trust (exact amount unknown)</x:v>
      </x:c>
      <x:c r="K16" s="24" t="str">
        <x:v>Repeatable / randomized</x:v>
      </x:c>
      <x:c r="L16" s="24" t="str">
        <x:v>Named &amp; sourced</x:v>
      </x:c>
      <x:c r="M16" s="24" t="str">
        <x:v>Yes</x:v>
      </x:c>
      <x:c r="N16" s="24" t="str"/>
      <x:c r="O16" s="24" t="str">
        <x:v>https://www.scribd.com/document/501357601/Durango-Wildlands-Mastersheet</x:v>
      </x:c>
    </x:row>
    <x:row r="17" ht="30" customHeight="1">
      <x:c r="A17" s="24" t="str">
        <x:v>DW-T0013</x:v>
      </x:c>
      <x:c r="B17" s="24" t="str">
        <x:v>Communication missions</x:v>
      </x:c>
      <x:c r="C17" s="24" t="str">
        <x:v>Reaching the Ceiling</x:v>
      </x:c>
      <x:c r="D17" s="24" t="str">
        <x:v>Frontier Coalition</x:v>
      </x:c>
      <x:c r="E17" s="24" t="str">
        <x:v>Tundra Lv. 60</x:v>
      </x:c>
      <x:c r="F17" s="24" t="str">
        <x:v>Supply roofing components</x:v>
      </x:c>
      <x:c r="G17" s="24" t="str">
        <x:v>Roof Material</x:v>
      </x:c>
      <x:c r="H17" s="26" t="n">
        <x:v>5</x:v>
      </x:c>
      <x:c r="I17" s="26" t="n">
        <x:v>40</x:v>
      </x:c>
      <x:c r="J17" s="24" t="str">
        <x:v>T-Stones, EXP, faction trust (exact amount unknown)</x:v>
      </x:c>
      <x:c r="K17" s="24" t="str">
        <x:v>Repeatable / randomized</x:v>
      </x:c>
      <x:c r="L17" s="24" t="str">
        <x:v>Named &amp; sourced</x:v>
      </x:c>
      <x:c r="M17" s="24" t="str">
        <x:v>Yes</x:v>
      </x:c>
      <x:c r="N17" s="24" t="str">
        <x:v>Mastersheet misspells Ceilling</x:v>
      </x:c>
      <x:c r="O17" s="24" t="str">
        <x:v>https://www.scribd.com/document/501357601/Durango-Wildlands-Mastersheet</x:v>
      </x:c>
    </x:row>
    <x:row r="18" ht="30" customHeight="1">
      <x:c r="A18" s="24" t="str">
        <x:v>DW-T0014</x:v>
      </x:c>
      <x:c r="B18" s="24" t="str">
        <x:v>Communication missions</x:v>
      </x:c>
      <x:c r="C18" s="24" t="str">
        <x:v>Overcomplications</x:v>
      </x:c>
      <x:c r="D18" s="24" t="str">
        <x:v>The Committee</x:v>
      </x:c>
      <x:c r="E18" s="24" t="str">
        <x:v>Tundra Lv. 60</x:v>
      </x:c>
      <x:c r="F18" s="24" t="str">
        <x:v>Hunt target and deliver part</x:v>
      </x:c>
      <x:c r="G18" s="24" t="str">
        <x:v>Direwolf Cub Meat</x:v>
      </x:c>
      <x:c r="H18" s="26" t="n">
        <x:v>1</x:v>
      </x:c>
      <x:c r="I18" s="26" t="n">
        <x:v>45</x:v>
      </x:c>
      <x:c r="J18" s="24" t="str">
        <x:v>T-Stones, EXP, faction trust (exact amount unknown)</x:v>
      </x:c>
      <x:c r="K18" s="24" t="str">
        <x:v>Repeatable / randomized</x:v>
      </x:c>
      <x:c r="L18" s="24" t="str">
        <x:v>Named &amp; sourced</x:v>
      </x:c>
      <x:c r="M18" s="24" t="str">
        <x:v>Yes</x:v>
      </x:c>
      <x:c r="N18" s="24" t="str"/>
      <x:c r="O18" s="24" t="str">
        <x:v>https://www.scribd.com/document/501357601/Durango-Wildlands-Mastersheet</x:v>
      </x:c>
    </x:row>
    <x:row r="19" ht="30" customHeight="1">
      <x:c r="A19" s="24" t="str">
        <x:v>DW-T0015</x:v>
      </x:c>
      <x:c r="B19" s="24" t="str">
        <x:v>Communication missions</x:v>
      </x:c>
      <x:c r="C19" s="24" t="str">
        <x:v>No Hesitation</x:v>
      </x:c>
      <x:c r="D19" s="24" t="str">
        <x:v>The Committee</x:v>
      </x:c>
      <x:c r="E19" s="24" t="str">
        <x:v>Tundra Lv. 60</x:v>
      </x:c>
      <x:c r="F19" s="24" t="str">
        <x:v>Hunt target and deliver part</x:v>
      </x:c>
      <x:c r="G19" s="24" t="str">
        <x:v>Coelophysis Small Skull</x:v>
      </x:c>
      <x:c r="H19" s="26" t="n">
        <x:v>1</x:v>
      </x:c>
      <x:c r="I19" s="26" t="n">
        <x:v>45</x:v>
      </x:c>
      <x:c r="J19" s="24" t="str">
        <x:v>T-Stones, EXP, faction trust (exact amount unknown)</x:v>
      </x:c>
      <x:c r="K19" s="24" t="str">
        <x:v>Repeatable / randomized</x:v>
      </x:c>
      <x:c r="L19" s="24" t="str">
        <x:v>Named &amp; sourced</x:v>
      </x:c>
      <x:c r="M19" s="24" t="str">
        <x:v>Yes</x:v>
      </x:c>
      <x:c r="N19" s="24" t="str"/>
      <x:c r="O19" s="24" t="str">
        <x:v>https://www.scribd.com/document/501357601/Durango-Wildlands-Mastersheet</x:v>
      </x:c>
    </x:row>
    <x:row r="20" ht="30" customHeight="1">
      <x:c r="A20" s="24" t="str">
        <x:v>DW-T0016</x:v>
      </x:c>
      <x:c r="B20" s="24" t="str">
        <x:v>Communication missions</x:v>
      </x:c>
      <x:c r="C20" s="24" t="str">
        <x:v>The Centrosaurus of Theseus</x:v>
      </x:c>
      <x:c r="D20" s="24" t="str">
        <x:v>The Committee</x:v>
      </x:c>
      <x:c r="E20" s="24" t="str">
        <x:v>Tundra Lv. 60</x:v>
      </x:c>
      <x:c r="F20" s="24" t="str">
        <x:v>Hunt target and deliver part</x:v>
      </x:c>
      <x:c r="G20" s="24" t="str">
        <x:v>Centrosaurus Leg Bone</x:v>
      </x:c>
      <x:c r="H20" s="26" t="n">
        <x:v>1</x:v>
      </x:c>
      <x:c r="I20" s="26" t="n">
        <x:v>45</x:v>
      </x:c>
      <x:c r="J20" s="24" t="str">
        <x:v>T-Stones, EXP, faction trust (exact amount unknown)</x:v>
      </x:c>
      <x:c r="K20" s="24" t="str">
        <x:v>Repeatable / randomized</x:v>
      </x:c>
      <x:c r="L20" s="24" t="str">
        <x:v>Named &amp; sourced</x:v>
      </x:c>
      <x:c r="M20" s="24" t="str">
        <x:v>Yes</x:v>
      </x:c>
      <x:c r="N20" s="24" t="str"/>
      <x:c r="O20" s="24" t="str">
        <x:v>https://www.scribd.com/document/501357601/Durango-Wildlands-Mastersheet</x:v>
      </x:c>
    </x:row>
    <x:row r="21" ht="30" customHeight="1">
      <x:c r="A21" s="24" t="str">
        <x:v>DW-T0017</x:v>
      </x:c>
      <x:c r="B21" s="24" t="str">
        <x:v>Communication missions</x:v>
      </x:c>
      <x:c r="C21" s="24" t="str">
        <x:v>The Danger of Vanity</x:v>
      </x:c>
      <x:c r="D21" s="24" t="str">
        <x:v>The Committee</x:v>
      </x:c>
      <x:c r="E21" s="24" t="str">
        <x:v>Tundra Lv. 60</x:v>
      </x:c>
      <x:c r="F21" s="24" t="str">
        <x:v>Hunt target and deliver part</x:v>
      </x:c>
      <x:c r="G21" s="24" t="str">
        <x:v>Ornithomimus Feather</x:v>
      </x:c>
      <x:c r="H21" s="26" t="n">
        <x:v>1</x:v>
      </x:c>
      <x:c r="I21" s="26" t="n">
        <x:v>45</x:v>
      </x:c>
      <x:c r="J21" s="24" t="str">
        <x:v>T-Stones, EXP, faction trust (exact amount unknown)</x:v>
      </x:c>
      <x:c r="K21" s="24" t="str">
        <x:v>Repeatable / randomized</x:v>
      </x:c>
      <x:c r="L21" s="24" t="str">
        <x:v>Named &amp; sourced</x:v>
      </x:c>
      <x:c r="M21" s="24" t="str">
        <x:v>Yes</x:v>
      </x:c>
      <x:c r="N21" s="24" t="str"/>
      <x:c r="O21" s="24" t="str">
        <x:v>https://www.scribd.com/document/501357601/Durango-Wildlands-Mastersheet</x:v>
      </x:c>
    </x:row>
    <x:row r="22" ht="30" customHeight="1">
      <x:c r="A22" s="24" t="str">
        <x:v>DW-T0018</x:v>
      </x:c>
      <x:c r="B22" s="24" t="str">
        <x:v>Communication missions</x:v>
      </x:c>
      <x:c r="C22" s="24" t="str">
        <x:v>Hunt a male Megaloceros [title missing]</x:v>
      </x:c>
      <x:c r="D22" s="24" t="str">
        <x:v>The Committee</x:v>
      </x:c>
      <x:c r="E22" s="24" t="str">
        <x:v>Tundra Lv. 60</x:v>
      </x:c>
      <x:c r="F22" s="24" t="str">
        <x:v>Hunt target and collect horn</x:v>
      </x:c>
      <x:c r="G22" s="24" t="str">
        <x:v>Male Megaloceros Horn</x:v>
      </x:c>
      <x:c r="H22" s="26" t="n">
        <x:v>1</x:v>
      </x:c>
      <x:c r="I22" s="26" t="n">
        <x:v>45</x:v>
      </x:c>
      <x:c r="J22" s="24" t="str">
        <x:v>T-Stones, EXP, trust</x:v>
      </x:c>
      <x:c r="K22" s="24" t="str">
        <x:v>Repeatable / randomized</x:v>
      </x:c>
      <x:c r="L22" s="24" t="str">
        <x:v>Objective sourced; title unavailable</x:v>
      </x:c>
      <x:c r="M22" s="24" t="str">
        <x:v>No (descriptive)</x:v>
      </x:c>
      <x:c r="N22" s="24" t="str">
        <x:v>Source contains the objective but not a distinct mission title</x:v>
      </x:c>
      <x:c r="O22" s="24" t="str">
        <x:v>https://www.scribd.com/document/501357601/Durango-Wildlands-Mastersheet</x:v>
      </x:c>
    </x:row>
    <x:row r="23" ht="30" customHeight="1">
      <x:c r="A23" s="24" t="str">
        <x:v>DW-T0019</x:v>
      </x:c>
      <x:c r="B23" s="24" t="str">
        <x:v>Communication missions</x:v>
      </x:c>
      <x:c r="C23" s="24" t="str">
        <x:v>Cold and Savage</x:v>
      </x:c>
      <x:c r="D23" s="24" t="str">
        <x:v>The Company</x:v>
      </x:c>
      <x:c r="E23" s="24" t="str">
        <x:v>Snowfield Lv. 60</x:v>
      </x:c>
      <x:c r="F23" s="24" t="str">
        <x:v>Deliver repair materials</x:v>
      </x:c>
      <x:c r="G23" s="24" t="str">
        <x:v>Building Repair Kit</x:v>
      </x:c>
      <x:c r="H23" s="26" t="n">
        <x:v>4</x:v>
      </x:c>
      <x:c r="I23" s="26" t="n">
        <x:v>40</x:v>
      </x:c>
      <x:c r="J23" s="24" t="str">
        <x:v>T-Stones, EXP, faction trust (exact amount unknown)</x:v>
      </x:c>
      <x:c r="K23" s="24" t="str">
        <x:v>Repeatable / randomized</x:v>
      </x:c>
      <x:c r="L23" s="24" t="str">
        <x:v>Named &amp; sourced</x:v>
      </x:c>
      <x:c r="M23" s="24" t="str">
        <x:v>Yes</x:v>
      </x:c>
      <x:c r="N23" s="24" t="str"/>
      <x:c r="O23" s="24" t="str">
        <x:v>https://www.scribd.com/document/501357601/Durango-Wildlands-Mastersheet</x:v>
      </x:c>
    </x:row>
    <x:row r="24" ht="30" customHeight="1">
      <x:c r="A24" s="24" t="str">
        <x:v>DW-T0020</x:v>
      </x:c>
      <x:c r="B24" s="24" t="str">
        <x:v>Communication missions</x:v>
      </x:c>
      <x:c r="C24" s="24" t="str">
        <x:v>Oily Obligation</x:v>
      </x:c>
      <x:c r="D24" s="24" t="str">
        <x:v>The Company</x:v>
      </x:c>
      <x:c r="E24" s="24" t="str">
        <x:v>Snowfield Lv. 60</x:v>
      </x:c>
      <x:c r="F24" s="24" t="str">
        <x:v>Deliver oil-bearing liquids</x:v>
      </x:c>
      <x:c r="G24" s="24" t="str">
        <x:v>Oily Liquid items</x:v>
      </x:c>
      <x:c r="H24" s="26" t="n">
        <x:v>3</x:v>
      </x:c>
      <x:c r="I24" s="26" t="n">
        <x:v>40</x:v>
      </x:c>
      <x:c r="J24" s="24" t="str">
        <x:v>T-Stones, EXP, faction trust (exact amount unknown)</x:v>
      </x:c>
      <x:c r="K24" s="24" t="str">
        <x:v>Repeatable / randomized</x:v>
      </x:c>
      <x:c r="L24" s="24" t="str">
        <x:v>Named &amp; sourced</x:v>
      </x:c>
      <x:c r="M24" s="24" t="str">
        <x:v>Yes</x:v>
      </x:c>
      <x:c r="N24" s="24" t="str"/>
      <x:c r="O24" s="24" t="str">
        <x:v>https://www.scribd.com/document/501357601/Durango-Wildlands-Mastersheet</x:v>
      </x:c>
    </x:row>
    <x:row r="25" ht="30" customHeight="1">
      <x:c r="A25" s="24" t="str">
        <x:v>DW-T0021</x:v>
      </x:c>
      <x:c r="B25" s="24" t="str">
        <x:v>Communication missions</x:v>
      </x:c>
      <x:c r="C25" s="24" t="str">
        <x:v>From the Floor to the Grave</x:v>
      </x:c>
      <x:c r="D25" s="24" t="str">
        <x:v>The Company</x:v>
      </x:c>
      <x:c r="E25" s="24" t="str">
        <x:v>Snowfield Lv. 60</x:v>
      </x:c>
      <x:c r="F25" s="24" t="str">
        <x:v>Deliver construction components</x:v>
      </x:c>
      <x:c r="G25" s="24" t="str">
        <x:v>Floor Material</x:v>
      </x:c>
      <x:c r="H25" s="26" t="n">
        <x:v>5</x:v>
      </x:c>
      <x:c r="I25" s="26" t="n">
        <x:v>40</x:v>
      </x:c>
      <x:c r="J25" s="24" t="str">
        <x:v>T-Stones, EXP, faction trust (exact amount unknown)</x:v>
      </x:c>
      <x:c r="K25" s="24" t="str">
        <x:v>Repeatable / randomized</x:v>
      </x:c>
      <x:c r="L25" s="24" t="str">
        <x:v>Named &amp; sourced</x:v>
      </x:c>
      <x:c r="M25" s="24" t="str">
        <x:v>Yes</x:v>
      </x:c>
      <x:c r="N25" s="24" t="str"/>
      <x:c r="O25" s="24" t="str">
        <x:v>https://www.scribd.com/document/501357601/Durango-Wildlands-Mastersheet</x:v>
      </x:c>
    </x:row>
    <x:row r="26" ht="30" customHeight="1">
      <x:c r="A26" s="24" t="str">
        <x:v>DW-T0022</x:v>
      </x:c>
      <x:c r="B26" s="24" t="str">
        <x:v>Communication missions</x:v>
      </x:c>
      <x:c r="C26" s="24" t="str">
        <x:v>Baby, It's Cold Outside</x:v>
      </x:c>
      <x:c r="D26" s="24" t="str">
        <x:v>The Company</x:v>
      </x:c>
      <x:c r="E26" s="24" t="str">
        <x:v>Snowfield Lv. 60</x:v>
      </x:c>
      <x:c r="F26" s="24" t="str">
        <x:v>Deliver construction components</x:v>
      </x:c>
      <x:c r="G26" s="24" t="str">
        <x:v>Wall Material</x:v>
      </x:c>
      <x:c r="H26" s="26" t="n">
        <x:v>4</x:v>
      </x:c>
      <x:c r="I26" s="26" t="n">
        <x:v>35</x:v>
      </x:c>
      <x:c r="J26" s="24" t="str">
        <x:v>T-Stones, EXP, faction trust (exact amount unknown)</x:v>
      </x:c>
      <x:c r="K26" s="24" t="str">
        <x:v>Repeatable / randomized</x:v>
      </x:c>
      <x:c r="L26" s="24" t="str">
        <x:v>Named &amp; sourced</x:v>
      </x:c>
      <x:c r="M26" s="24" t="str">
        <x:v>Yes</x:v>
      </x:c>
      <x:c r="N26" s="24" t="str"/>
      <x:c r="O26" s="24" t="str">
        <x:v>https://www.scribd.com/document/501357601/Durango-Wildlands-Mastersheet</x:v>
      </x:c>
    </x:row>
    <x:row r="27" ht="30" customHeight="1">
      <x:c r="A27" s="24" t="str">
        <x:v>DW-T0023</x:v>
      </x:c>
      <x:c r="B27" s="24" t="str">
        <x:v>Communication missions</x:v>
      </x:c>
      <x:c r="C27" s="24" t="str">
        <x:v>Fantasies of Farming</x:v>
      </x:c>
      <x:c r="D27" s="24" t="str">
        <x:v>The Company</x:v>
      </x:c>
      <x:c r="E27" s="24" t="str">
        <x:v>Snowfield Lv. 60</x:v>
      </x:c>
      <x:c r="F27" s="24" t="str">
        <x:v>Deliver farming tools</x:v>
      </x:c>
      <x:c r="G27" s="24" t="str">
        <x:v>Hoes</x:v>
      </x:c>
      <x:c r="H27" s="26"/>
      <x:c r="I27" s="26" t="n">
        <x:v>40</x:v>
      </x:c>
      <x:c r="J27" s="24" t="str">
        <x:v>T-Stones, EXP, faction trust (exact amount unknown)</x:v>
      </x:c>
      <x:c r="K27" s="24" t="str">
        <x:v>Repeatable / randomized</x:v>
      </x:c>
      <x:c r="L27" s="24" t="str">
        <x:v>Named &amp; sourced</x:v>
      </x:c>
      <x:c r="M27" s="24" t="str">
        <x:v>Yes</x:v>
      </x:c>
      <x:c r="N27" s="24" t="str">
        <x:v>Requested quantity unreadable in source</x:v>
      </x:c>
      <x:c r="O27" s="24" t="str">
        <x:v>https://www.scribd.com/document/501357601/Durango-Wildlands-Mastersheet</x:v>
      </x:c>
    </x:row>
    <x:row r="28" ht="30" customHeight="1">
      <x:c r="A28" s="24" t="str">
        <x:v>DW-T0024</x:v>
      </x:c>
      <x:c r="B28" s="24" t="str">
        <x:v>Communication missions</x:v>
      </x:c>
      <x:c r="C28" s="24" t="str">
        <x:v>The Cranberries Are Back</x:v>
      </x:c>
      <x:c r="D28" s="24" t="str">
        <x:v>Chlorophyll Forum</x:v>
      </x:c>
      <x:c r="E28" s="24" t="str">
        <x:v>Snowfield Lv. 60</x:v>
      </x:c>
      <x:c r="F28" s="24" t="str">
        <x:v>Collect berries</x:v>
      </x:c>
      <x:c r="G28" s="24" t="str">
        <x:v>Cranberry</x:v>
      </x:c>
      <x:c r="H28" s="26" t="n">
        <x:v>3</x:v>
      </x:c>
      <x:c r="I28" s="26" t="n">
        <x:v>45</x:v>
      </x:c>
      <x:c r="J28" s="24" t="str">
        <x:v>T-Stones, EXP, faction trust (exact amount unknown)</x:v>
      </x:c>
      <x:c r="K28" s="24" t="str">
        <x:v>Repeatable / randomized</x:v>
      </x:c>
      <x:c r="L28" s="24" t="str">
        <x:v>Named &amp; sourced</x:v>
      </x:c>
      <x:c r="M28" s="24" t="str">
        <x:v>Yes</x:v>
      </x:c>
      <x:c r="N28" s="24" t="str">
        <x:v>Same mission name appears in more than one biome</x:v>
      </x:c>
      <x:c r="O28" s="24" t="str">
        <x:v>https://www.scribd.com/document/501357601/Durango-Wildlands-Mastersheet</x:v>
      </x:c>
    </x:row>
    <x:row r="29" ht="30" customHeight="1">
      <x:c r="A29" s="24" t="str">
        <x:v>DW-T0025</x:v>
      </x:c>
      <x:c r="B29" s="24" t="str">
        <x:v>Communication missions</x:v>
      </x:c>
      <x:c r="C29" s="24" t="str">
        <x:v>Lucky Wolf's Leg</x:v>
      </x:c>
      <x:c r="D29" s="24" t="str">
        <x:v>The Committee (tentative)</x:v>
      </x:c>
      <x:c r="E29" s="24" t="str">
        <x:v>Snowfield Lv. 60</x:v>
      </x:c>
      <x:c r="F29" s="24" t="str">
        <x:v>Hunt target and collect bone</x:v>
      </x:c>
      <x:c r="G29" s="24" t="str">
        <x:v>Direwolf Leg Bone</x:v>
      </x:c>
      <x:c r="H29" s="26" t="n">
        <x:v>1</x:v>
      </x:c>
      <x:c r="I29" s="26" t="n">
        <x:v>45</x:v>
      </x:c>
      <x:c r="J29" s="24" t="str">
        <x:v>T-Stones, EXP, faction trust (exact amount unknown)</x:v>
      </x:c>
      <x:c r="K29" s="24" t="str">
        <x:v>Repeatable / randomized</x:v>
      </x:c>
      <x:c r="L29" s="24" t="str">
        <x:v>Named; faction tentative</x:v>
      </x:c>
      <x:c r="M29" s="24" t="str">
        <x:v>Yes</x:v>
      </x:c>
      <x:c r="N29" s="24" t="str">
        <x:v>Faction column partially garbled in extraction</x:v>
      </x:c>
      <x:c r="O29" s="24" t="str">
        <x:v>https://www.scribd.com/document/501357601/Durango-Wildlands-Mastersheet</x:v>
      </x:c>
    </x:row>
    <x:row r="30" ht="30" customHeight="1">
      <x:c r="A30" s="24" t="str">
        <x:v>DW-T0026</x:v>
      </x:c>
      <x:c r="B30" s="24" t="str">
        <x:v>Communication missions</x:v>
      </x:c>
      <x:c r="C30" s="24" t="str">
        <x:v>Apex Predator</x:v>
      </x:c>
      <x:c r="D30" s="24" t="str">
        <x:v>The Committee (tentative)</x:v>
      </x:c>
      <x:c r="E30" s="24" t="str">
        <x:v>Snowfield Lv. 60</x:v>
      </x:c>
      <x:c r="F30" s="24" t="str">
        <x:v>Hunt target and deliver meat</x:v>
      </x:c>
      <x:c r="G30" s="24" t="str">
        <x:v>Sabertooth Meat</x:v>
      </x:c>
      <x:c r="H30" s="26" t="n">
        <x:v>1</x:v>
      </x:c>
      <x:c r="I30" s="26" t="n">
        <x:v>45</x:v>
      </x:c>
      <x:c r="J30" s="24" t="str">
        <x:v>T-Stones, EXP, faction trust (exact amount unknown)</x:v>
      </x:c>
      <x:c r="K30" s="24" t="str">
        <x:v>Repeatable / randomized</x:v>
      </x:c>
      <x:c r="L30" s="24" t="str">
        <x:v>Named; faction tentative</x:v>
      </x:c>
      <x:c r="M30" s="24" t="str">
        <x:v>Yes</x:v>
      </x:c>
      <x:c r="N30" s="24" t="str">
        <x:v>Faction position partially garbled</x:v>
      </x:c>
      <x:c r="O30" s="24" t="str">
        <x:v>https://www.scribd.com/document/501357601/Durango-Wildlands-Mastersheet</x:v>
      </x:c>
    </x:row>
    <x:row r="31" ht="30" customHeight="1">
      <x:c r="A31" s="24" t="str">
        <x:v>DW-T0027</x:v>
      </x:c>
      <x:c r="B31" s="24" t="str">
        <x:v>Communication missions</x:v>
      </x:c>
      <x:c r="C31" s="24" t="str">
        <x:v>Happy New Year</x:v>
      </x:c>
      <x:c r="D31" s="24" t="str">
        <x:v>The Committee (tentative)</x:v>
      </x:c>
      <x:c r="E31" s="24" t="str">
        <x:v>Snowfield Lv. 60</x:v>
      </x:c>
      <x:c r="F31" s="24" t="str">
        <x:v>Capture a male Megaloceros</x:v>
      </x:c>
      <x:c r="G31" s="24" t="str">
        <x:v>Male Megaloceros</x:v>
      </x:c>
      <x:c r="H31" s="26" t="n">
        <x:v>1</x:v>
      </x:c>
      <x:c r="I31" s="26" t="n">
        <x:v>45</x:v>
      </x:c>
      <x:c r="J31" s="24" t="str">
        <x:v>T-Stones, EXP, faction trust (exact amount unknown)</x:v>
      </x:c>
      <x:c r="K31" s="24" t="str">
        <x:v>Repeatable / randomized</x:v>
      </x:c>
      <x:c r="L31" s="24" t="str">
        <x:v>Named; faction tentative</x:v>
      </x:c>
      <x:c r="M31" s="24" t="str">
        <x:v>Yes</x:v>
      </x:c>
      <x:c r="N31" s="24" t="str">
        <x:v>Item level may not apply to capture task</x:v>
      </x:c>
      <x:c r="O31" s="24" t="str">
        <x:v>https://www.scribd.com/document/501357601/Durango-Wildlands-Mastersheet</x:v>
      </x:c>
    </x:row>
    <x:row r="32" ht="30" customHeight="1">
      <x:c r="A32" s="24" t="str">
        <x:v>DW-T0028</x:v>
      </x:c>
      <x:c r="B32" s="24" t="str">
        <x:v>Communication missions</x:v>
      </x:c>
      <x:c r="C32" s="24" t="str">
        <x:v>Hunt a mammoth [title missing]</x:v>
      </x:c>
      <x:c r="D32" s="24" t="str">
        <x:v>The Committee (tentative)</x:v>
      </x:c>
      <x:c r="E32" s="24" t="str">
        <x:v>Snowfield Lv. 60</x:v>
      </x:c>
      <x:c r="F32" s="24" t="str">
        <x:v>Hunt mammoth and deliver part</x:v>
      </x:c>
      <x:c r="G32" s="24" t="str">
        <x:v>Mammoth Fat</x:v>
      </x:c>
      <x:c r="H32" s="26" t="n">
        <x:v>1</x:v>
      </x:c>
      <x:c r="I32" s="26" t="n">
        <x:v>45</x:v>
      </x:c>
      <x:c r="J32" s="24" t="str">
        <x:v>T-Stones, EXP, trust</x:v>
      </x:c>
      <x:c r="K32" s="24" t="str">
        <x:v>Repeatable / randomized</x:v>
      </x:c>
      <x:c r="L32" s="24" t="str">
        <x:v>Objective sourced; title unavailable</x:v>
      </x:c>
      <x:c r="M32" s="24" t="str">
        <x:v>No (descriptive)</x:v>
      </x:c>
      <x:c r="N32" s="24" t="str">
        <x:v>Named title not legible</x:v>
      </x:c>
      <x:c r="O32" s="24" t="str">
        <x:v>https://www.scribd.com/document/501357601/Durango-Wildlands-Mastersheet</x:v>
      </x:c>
    </x:row>
    <x:row r="33" ht="30" customHeight="1">
      <x:c r="A33" s="24" t="str">
        <x:v>DW-T0029</x:v>
      </x:c>
      <x:c r="B33" s="24" t="str">
        <x:v>Communication missions</x:v>
      </x:c>
      <x:c r="C33" s="24" t="str">
        <x:v>Opportunity Cost</x:v>
      </x:c>
      <x:c r="D33" s="24" t="str">
        <x:v>The Company</x:v>
      </x:c>
      <x:c r="E33" s="24" t="str">
        <x:v>Tropical Lv. 60</x:v>
      </x:c>
      <x:c r="F33" s="24" t="str">
        <x:v>Gather shellfish</x:v>
      </x:c>
      <x:c r="G33" s="24" t="str">
        <x:v>Clam</x:v>
      </x:c>
      <x:c r="H33" s="26" t="n">
        <x:v>5</x:v>
      </x:c>
      <x:c r="I33" s="26" t="n">
        <x:v>45</x:v>
      </x:c>
      <x:c r="J33" s="24" t="str">
        <x:v>T-Stones, EXP, faction trust (exact amount unknown)</x:v>
      </x:c>
      <x:c r="K33" s="24" t="str">
        <x:v>Repeatable / randomized</x:v>
      </x:c>
      <x:c r="L33" s="24" t="str">
        <x:v>Named &amp; sourced</x:v>
      </x:c>
      <x:c r="M33" s="24" t="str">
        <x:v>Yes</x:v>
      </x:c>
      <x:c r="N33" s="24" t="str"/>
      <x:c r="O33" s="24" t="str">
        <x:v>https://www.scribd.com/document/501357601/Durango-Wildlands-Mastersheet</x:v>
      </x:c>
    </x:row>
    <x:row r="34" ht="30" customHeight="1">
      <x:c r="A34" s="24" t="str">
        <x:v>DW-T0030</x:v>
      </x:c>
      <x:c r="B34" s="24" t="str">
        <x:v>Communication missions</x:v>
      </x:c>
      <x:c r="C34" s="24" t="str">
        <x:v>It All Hinges on This</x:v>
      </x:c>
      <x:c r="D34" s="24" t="str">
        <x:v>The Company</x:v>
      </x:c>
      <x:c r="E34" s="24" t="str">
        <x:v>Tropical Lv. 60</x:v>
      </x:c>
      <x:c r="F34" s="24" t="str">
        <x:v>Make/deliver hardware</x:v>
      </x:c>
      <x:c r="G34" s="24" t="str">
        <x:v>Hinge</x:v>
      </x:c>
      <x:c r="H34" s="26" t="n">
        <x:v>8</x:v>
      </x:c>
      <x:c r="I34" s="26" t="n">
        <x:v>40</x:v>
      </x:c>
      <x:c r="J34" s="24" t="str">
        <x:v>T-Stones, EXP, faction trust (exact amount unknown)</x:v>
      </x:c>
      <x:c r="K34" s="24" t="str">
        <x:v>Repeatable / randomized</x:v>
      </x:c>
      <x:c r="L34" s="24" t="str">
        <x:v>Named &amp; sourced</x:v>
      </x:c>
      <x:c r="M34" s="24" t="str">
        <x:v>Yes</x:v>
      </x:c>
      <x:c r="N34" s="24" t="str"/>
      <x:c r="O34" s="24" t="str">
        <x:v>https://www.scribd.com/document/501357601/Durango-Wildlands-Mastersheet</x:v>
      </x:c>
    </x:row>
    <x:row r="35" ht="30" customHeight="1">
      <x:c r="A35" s="24" t="str">
        <x:v>DW-T0031</x:v>
      </x:c>
      <x:c r="B35" s="24" t="str">
        <x:v>Communication missions</x:v>
      </x:c>
      <x:c r="C35" s="24" t="str">
        <x:v>Coconut Rut</x:v>
      </x:c>
      <x:c r="D35" s="24" t="str">
        <x:v>The Company</x:v>
      </x:c>
      <x:c r="E35" s="24" t="str">
        <x:v>Tropical Lv. 60</x:v>
      </x:c>
      <x:c r="F35" s="24" t="str">
        <x:v>Gather fruit</x:v>
      </x:c>
      <x:c r="G35" s="24" t="str">
        <x:v>Coconut</x:v>
      </x:c>
      <x:c r="H35" s="26" t="n">
        <x:v>4</x:v>
      </x:c>
      <x:c r="I35" s="26" t="n">
        <x:v>45</x:v>
      </x:c>
      <x:c r="J35" s="24" t="str">
        <x:v>T-Stones, EXP, faction trust (exact amount unknown)</x:v>
      </x:c>
      <x:c r="K35" s="24" t="str">
        <x:v>Repeatable / randomized</x:v>
      </x:c>
      <x:c r="L35" s="24" t="str">
        <x:v>Named &amp; sourced</x:v>
      </x:c>
      <x:c r="M35" s="24" t="str">
        <x:v>Yes</x:v>
      </x:c>
      <x:c r="N35" s="24" t="str"/>
      <x:c r="O35" s="24" t="str">
        <x:v>https://www.scribd.com/document/501357601/Durango-Wildlands-Mastersheet</x:v>
      </x:c>
    </x:row>
    <x:row r="36" ht="30" customHeight="1">
      <x:c r="A36" s="24" t="str">
        <x:v>DW-T0032</x:v>
      </x:c>
      <x:c r="B36" s="24" t="str">
        <x:v>Communication missions</x:v>
      </x:c>
      <x:c r="C36" s="24" t="str">
        <x:v>Tool for Fixing Tool</x:v>
      </x:c>
      <x:c r="D36" s="24" t="str">
        <x:v>The Company</x:v>
      </x:c>
      <x:c r="E36" s="24" t="str">
        <x:v>Tropical Lv. 60</x:v>
      </x:c>
      <x:c r="F36" s="24" t="str">
        <x:v>Deliver tool repairs</x:v>
      </x:c>
      <x:c r="G36" s="24" t="str">
        <x:v>Tool Repair Kit</x:v>
      </x:c>
      <x:c r="H36" s="26" t="n">
        <x:v>4</x:v>
      </x:c>
      <x:c r="I36" s="26" t="n">
        <x:v>40</x:v>
      </x:c>
      <x:c r="J36" s="24" t="str">
        <x:v>T-Stones, EXP, faction trust (exact amount unknown)</x:v>
      </x:c>
      <x:c r="K36" s="24" t="str">
        <x:v>Repeatable / randomized</x:v>
      </x:c>
      <x:c r="L36" s="24" t="str">
        <x:v>Named &amp; sourced</x:v>
      </x:c>
      <x:c r="M36" s="24" t="str">
        <x:v>Yes</x:v>
      </x:c>
      <x:c r="N36" s="24" t="str"/>
      <x:c r="O36" s="24" t="str">
        <x:v>https://www.scribd.com/document/501357601/Durango-Wildlands-Mastersheet</x:v>
      </x:c>
    </x:row>
    <x:row r="37" ht="30" customHeight="1">
      <x:c r="A37" s="24" t="str">
        <x:v>DW-T0033</x:v>
      </x:c>
      <x:c r="B37" s="24" t="str">
        <x:v>Communication missions</x:v>
      </x:c>
      <x:c r="C37" s="24" t="str">
        <x:v>It's Crab All the Way Down</x:v>
      </x:c>
      <x:c r="D37" s="24" t="str">
        <x:v>Faction unclear</x:v>
      </x:c>
      <x:c r="E37" s="24" t="str">
        <x:v>Tropical Lv. 60</x:v>
      </x:c>
      <x:c r="F37" s="24" t="str">
        <x:v>Hunt/collect crabs</x:v>
      </x:c>
      <x:c r="G37" s="24" t="str">
        <x:v>Coconut Crab</x:v>
      </x:c>
      <x:c r="H37" s="26" t="n">
        <x:v>3</x:v>
      </x:c>
      <x:c r="I37" s="26" t="n">
        <x:v>40</x:v>
      </x:c>
      <x:c r="J37" s="24" t="str">
        <x:v>T-Stones, EXP, faction trust (exact amount unknown)</x:v>
      </x:c>
      <x:c r="K37" s="24" t="str">
        <x:v>Repeatable / randomized</x:v>
      </x:c>
      <x:c r="L37" s="24" t="str">
        <x:v>Named; faction unclear</x:v>
      </x:c>
      <x:c r="M37" s="24" t="str">
        <x:v>Yes</x:v>
      </x:c>
      <x:c r="N37" s="24" t="str">
        <x:v>Exact faction unclear from rendered table</x:v>
      </x:c>
      <x:c r="O37" s="24" t="str">
        <x:v>https://www.scribd.com/document/501357601/Durango-Wildlands-Mastersheet</x:v>
      </x:c>
    </x:row>
    <x:row r="38" ht="30" customHeight="1">
      <x:c r="A38" s="24" t="str">
        <x:v>DW-T0034</x:v>
      </x:c>
      <x:c r="B38" s="24" t="str">
        <x:v>Communication missions</x:v>
      </x:c>
      <x:c r="C38" s="24" t="str">
        <x:v>Community Service</x:v>
      </x:c>
      <x:c r="D38" s="24" t="str">
        <x:v>Faction unclear</x:v>
      </x:c>
      <x:c r="E38" s="24" t="str">
        <x:v>Tropical Lv. 60</x:v>
      </x:c>
      <x:c r="F38" s="24" t="str">
        <x:v>Collect litter</x:v>
      </x:c>
      <x:c r="G38" s="24" t="str">
        <x:v>Plastic Bag</x:v>
      </x:c>
      <x:c r="H38" s="26" t="n">
        <x:v>2</x:v>
      </x:c>
      <x:c r="I38" s="26" t="n">
        <x:v>45</x:v>
      </x:c>
      <x:c r="J38" s="24" t="str">
        <x:v>T-Stones, EXP, faction trust (exact amount unknown)</x:v>
      </x:c>
      <x:c r="K38" s="24" t="str">
        <x:v>Repeatable / randomized</x:v>
      </x:c>
      <x:c r="L38" s="24" t="str">
        <x:v>Named; faction unclear</x:v>
      </x:c>
      <x:c r="M38" s="24" t="str">
        <x:v>Yes</x:v>
      </x:c>
      <x:c r="N38" s="24" t="str">
        <x:v>Exact faction unclear from rendered table</x:v>
      </x:c>
      <x:c r="O38" s="24" t="str">
        <x:v>https://www.scribd.com/document/501357601/Durango-Wildlands-Mastersheet</x:v>
      </x:c>
    </x:row>
    <x:row r="39" ht="30" customHeight="1">
      <x:c r="A39" s="24" t="str">
        <x:v>DW-T0035</x:v>
      </x:c>
      <x:c r="B39" s="24" t="str">
        <x:v>Communication missions</x:v>
      </x:c>
      <x:c r="C39" s="24" t="str">
        <x:v>Maintaining Altitude</x:v>
      </x:c>
      <x:c r="D39" s="24" t="str">
        <x:v>The Committee (tentative)</x:v>
      </x:c>
      <x:c r="E39" s="24" t="str">
        <x:v>Tropical Lv. 60</x:v>
      </x:c>
      <x:c r="F39" s="24" t="str">
        <x:v>Hunt target and collect bone</x:v>
      </x:c>
      <x:c r="G39" s="24" t="str">
        <x:v>Light Pink Protoceratops Leg Bone</x:v>
      </x:c>
      <x:c r="H39" s="26" t="n">
        <x:v>1</x:v>
      </x:c>
      <x:c r="I39" s="26" t="n">
        <x:v>40</x:v>
      </x:c>
      <x:c r="J39" s="24" t="str">
        <x:v>T-Stones, EXP, faction trust (exact amount unknown)</x:v>
      </x:c>
      <x:c r="K39" s="24" t="str">
        <x:v>Repeatable / randomized</x:v>
      </x:c>
      <x:c r="L39" s="24" t="str">
        <x:v>Named; faction tentative</x:v>
      </x:c>
      <x:c r="M39" s="24" t="str">
        <x:v>Yes</x:v>
      </x:c>
      <x:c r="N39" s="24" t="str">
        <x:v>Faction uncertain</x:v>
      </x:c>
      <x:c r="O39" s="24" t="str">
        <x:v>https://www.scribd.com/document/501357601/Durango-Wildlands-Mastersheet</x:v>
      </x:c>
    </x:row>
    <x:row r="40" ht="30" customHeight="1">
      <x:c r="A40" s="24" t="str">
        <x:v>DW-T0036</x:v>
      </x:c>
      <x:c r="B40" s="24" t="str">
        <x:v>Communication missions</x:v>
      </x:c>
      <x:c r="C40" s="24" t="str">
        <x:v>Drink from a Mangrove</x:v>
      </x:c>
      <x:c r="D40" s="24" t="str">
        <x:v>The Company</x:v>
      </x:c>
      <x:c r="E40" s="24" t="str">
        <x:v>Swamp Lv. 60</x:v>
      </x:c>
      <x:c r="F40" s="24" t="str">
        <x:v>Gather liquid</x:v>
      </x:c>
      <x:c r="G40" s="24" t="str">
        <x:v>Mangrove's Water</x:v>
      </x:c>
      <x:c r="H40" s="26" t="n">
        <x:v>5</x:v>
      </x:c>
      <x:c r="I40" s="26" t="n">
        <x:v>40</x:v>
      </x:c>
      <x:c r="J40" s="24" t="str">
        <x:v>T-Stones, EXP, faction trust (exact amount unknown)</x:v>
      </x:c>
      <x:c r="K40" s="24" t="str">
        <x:v>Repeatable / randomized</x:v>
      </x:c>
      <x:c r="L40" s="24" t="str">
        <x:v>Named &amp; sourced</x:v>
      </x:c>
      <x:c r="M40" s="24" t="str">
        <x:v>Yes</x:v>
      </x:c>
      <x:c r="N40" s="24" t="str"/>
      <x:c r="O40" s="24" t="str">
        <x:v>https://www.scribd.com/document/501357601/Durango-Wildlands-Mastersheet</x:v>
      </x:c>
    </x:row>
    <x:row r="41" ht="30" customHeight="1">
      <x:c r="A41" s="24" t="str">
        <x:v>DW-T0037</x:v>
      </x:c>
      <x:c r="B41" s="24" t="str">
        <x:v>Communication missions</x:v>
      </x:c>
      <x:c r="C41" s="24" t="str">
        <x:v>Root: A New Way of Trading</x:v>
      </x:c>
      <x:c r="D41" s="24" t="str">
        <x:v>The Company</x:v>
      </x:c>
      <x:c r="E41" s="24" t="str">
        <x:v>Swamp Lv. 60</x:v>
      </x:c>
      <x:c r="F41" s="24" t="str">
        <x:v>Gather plant product</x:v>
      </x:c>
      <x:c r="G41" s="24" t="str">
        <x:v>Liquid Rubber</x:v>
      </x:c>
      <x:c r="H41" s="26" t="n">
        <x:v>3</x:v>
      </x:c>
      <x:c r="I41" s="26" t="n">
        <x:v>45</x:v>
      </x:c>
      <x:c r="J41" s="24" t="str">
        <x:v>T-Stones, EXP, faction trust (exact amount unknown)</x:v>
      </x:c>
      <x:c r="K41" s="24" t="str">
        <x:v>Repeatable / randomized</x:v>
      </x:c>
      <x:c r="L41" s="24" t="str">
        <x:v>Title partly reconstructed</x:v>
      </x:c>
      <x:c r="M41" s="24" t="str">
        <x:v>Yes</x:v>
      </x:c>
      <x:c r="N41" s="24" t="str">
        <x:v>Source has separated 'Root' and 'A New Way of Trading'; title reconstructed</x:v>
      </x:c>
      <x:c r="O41" s="24" t="str">
        <x:v>https://www.scribd.com/document/501357601/Durango-Wildlands-Mastersheet</x:v>
      </x:c>
    </x:row>
    <x:row r="42" ht="30" customHeight="1">
      <x:c r="A42" s="24" t="str">
        <x:v>DW-T0038</x:v>
      </x:c>
      <x:c r="B42" s="24" t="str">
        <x:v>Communication missions</x:v>
      </x:c>
      <x:c r="C42" s="24" t="str">
        <x:v>I Offer This Ring Vine</x:v>
      </x:c>
      <x:c r="D42" s="24" t="str">
        <x:v>Chlorophyll Forum (tentative)</x:v>
      </x:c>
      <x:c r="E42" s="24" t="str">
        <x:v>Swamp Lv. 60</x:v>
      </x:c>
      <x:c r="F42" s="24" t="str">
        <x:v>Gather vines</x:v>
      </x:c>
      <x:c r="G42" s="24" t="str">
        <x:v>Thick Vines</x:v>
      </x:c>
      <x:c r="H42" s="26" t="n">
        <x:v>3</x:v>
      </x:c>
      <x:c r="I42" s="26" t="n">
        <x:v>45</x:v>
      </x:c>
      <x:c r="J42" s="24" t="str">
        <x:v>T-Stones, EXP, faction trust (exact amount unknown)</x:v>
      </x:c>
      <x:c r="K42" s="24" t="str">
        <x:v>Repeatable / randomized</x:v>
      </x:c>
      <x:c r="L42" s="24" t="str">
        <x:v>Named; faction tentative</x:v>
      </x:c>
      <x:c r="M42" s="24" t="str">
        <x:v>Yes</x:v>
      </x:c>
      <x:c r="N42" s="24" t="str">
        <x:v>Faction tentative</x:v>
      </x:c>
      <x:c r="O42" s="24" t="str">
        <x:v>https://www.scribd.com/document/501357601/Durango-Wildlands-Mastersheet</x:v>
      </x:c>
    </x:row>
    <x:row r="43" ht="30" customHeight="1">
      <x:c r="A43" s="24" t="str">
        <x:v>DW-T0039</x:v>
      </x:c>
      <x:c r="B43" s="24" t="str">
        <x:v>Communication missions</x:v>
      </x:c>
      <x:c r="C43" s="24" t="str">
        <x:v>Strapped for Strap</x:v>
      </x:c>
      <x:c r="D43" s="24" t="str">
        <x:v>Frontier Coalition (tentative)</x:v>
      </x:c>
      <x:c r="E43" s="24" t="str">
        <x:v>Swamp Lv. 60</x:v>
      </x:c>
      <x:c r="F43" s="24" t="str">
        <x:v>Deliver construction ties</x:v>
      </x:c>
      <x:c r="G43" s="24" t="str">
        <x:v>Long Strap</x:v>
      </x:c>
      <x:c r="H43" s="26" t="n">
        <x:v>8</x:v>
      </x:c>
      <x:c r="I43" s="26" t="n">
        <x:v>40</x:v>
      </x:c>
      <x:c r="J43" s="24" t="str">
        <x:v>T-Stones, EXP, faction trust (exact amount unknown)</x:v>
      </x:c>
      <x:c r="K43" s="24" t="str">
        <x:v>Repeatable / randomized</x:v>
      </x:c>
      <x:c r="L43" s="24" t="str">
        <x:v>Named; faction tentative</x:v>
      </x:c>
      <x:c r="M43" s="24" t="str">
        <x:v>Yes</x:v>
      </x:c>
      <x:c r="N43" s="24" t="str">
        <x:v>Faction tentative</x:v>
      </x:c>
      <x:c r="O43" s="24" t="str">
        <x:v>https://www.scribd.com/document/501357601/Durango-Wildlands-Mastersheet</x:v>
      </x:c>
    </x:row>
    <x:row r="44" ht="30" customHeight="1">
      <x:c r="A44" s="24" t="str">
        <x:v>DW-T0040</x:v>
      </x:c>
      <x:c r="B44" s="24" t="str">
        <x:v>Communication missions</x:v>
      </x:c>
      <x:c r="C44" s="24" t="str">
        <x:v>Reaching the Ceiling</x:v>
      </x:c>
      <x:c r="D44" s="24" t="str">
        <x:v>Frontier Coalition</x:v>
      </x:c>
      <x:c r="E44" s="24" t="str">
        <x:v>Swamp Lv. 60</x:v>
      </x:c>
      <x:c r="F44" s="24" t="str">
        <x:v>Deliver roofing components</x:v>
      </x:c>
      <x:c r="G44" s="24" t="str">
        <x:v>Roof Material</x:v>
      </x:c>
      <x:c r="H44" s="26" t="n">
        <x:v>5</x:v>
      </x:c>
      <x:c r="I44" s="26" t="n">
        <x:v>40</x:v>
      </x:c>
      <x:c r="J44" s="24" t="str">
        <x:v>T-Stones, EXP, faction trust (exact amount unknown)</x:v>
      </x:c>
      <x:c r="K44" s="24" t="str">
        <x:v>Repeatable / randomized</x:v>
      </x:c>
      <x:c r="L44" s="24" t="str">
        <x:v>Named &amp; sourced</x:v>
      </x:c>
      <x:c r="M44" s="24" t="str">
        <x:v>Yes</x:v>
      </x:c>
      <x:c r="N44" s="24" t="str">
        <x:v>Same mission name appears in another climate</x:v>
      </x:c>
      <x:c r="O44" s="24" t="str">
        <x:v>https://www.scribd.com/document/501357601/Durango-Wildlands-Mastersheet</x:v>
      </x:c>
    </x:row>
    <x:row r="45" ht="30" customHeight="1">
      <x:c r="A45" s="24" t="str">
        <x:v>DW-T0041</x:v>
      </x:c>
      <x:c r="B45" s="24" t="str">
        <x:v>Communication missions</x:v>
      </x:c>
      <x:c r="C45" s="24" t="str">
        <x:v>An Interesting Hobby</x:v>
      </x:c>
      <x:c r="D45" s="24" t="str">
        <x:v>The Committee</x:v>
      </x:c>
      <x:c r="E45" s="24" t="str">
        <x:v>Swamp Lv. 60</x:v>
      </x:c>
      <x:c r="F45" s="24" t="str">
        <x:v>Hunt target and gather pelt</x:v>
      </x:c>
      <x:c r="G45" s="24" t="str">
        <x:v>Skunkodus Pelt</x:v>
      </x:c>
      <x:c r="H45" s="26" t="n">
        <x:v>1</x:v>
      </x:c>
      <x:c r="I45" s="26" t="n">
        <x:v>45</x:v>
      </x:c>
      <x:c r="J45" s="24" t="str">
        <x:v>T-Stones, EXP, faction trust (exact amount unknown)</x:v>
      </x:c>
      <x:c r="K45" s="24" t="str">
        <x:v>Repeatable / randomized</x:v>
      </x:c>
      <x:c r="L45" s="24" t="str">
        <x:v>Named &amp; sourced</x:v>
      </x:c>
      <x:c r="M45" s="24" t="str">
        <x:v>Yes</x:v>
      </x:c>
      <x:c r="N45" s="24" t="str"/>
      <x:c r="O45" s="24" t="str">
        <x:v>https://www.scribd.com/document/501357601/Durango-Wildlands-Mastersheet</x:v>
      </x:c>
    </x:row>
    <x:row r="46" ht="30" customHeight="1">
      <x:c r="A46" s="24" t="str">
        <x:v>DW-T0042</x:v>
      </x:c>
      <x:c r="B46" s="24" t="str">
        <x:v>Communication missions</x:v>
      </x:c>
      <x:c r="C46" s="24" t="str">
        <x:v>A New Plague</x:v>
      </x:c>
      <x:c r="D46" s="24" t="str">
        <x:v>The Committee</x:v>
      </x:c>
      <x:c r="E46" s="24" t="str">
        <x:v>Swamp Lv. 60</x:v>
      </x:c>
      <x:c r="F46" s="24" t="str">
        <x:v>Hunt target and gather meat</x:v>
      </x:c>
      <x:c r="G46" s="24" t="str">
        <x:v>Giant Rat Meat</x:v>
      </x:c>
      <x:c r="H46" s="26" t="n">
        <x:v>1</x:v>
      </x:c>
      <x:c r="I46" s="26" t="n">
        <x:v>45</x:v>
      </x:c>
      <x:c r="J46" s="24" t="str">
        <x:v>T-Stones, EXP, faction trust (exact amount unknown)</x:v>
      </x:c>
      <x:c r="K46" s="24" t="str">
        <x:v>Repeatable / randomized</x:v>
      </x:c>
      <x:c r="L46" s="24" t="str">
        <x:v>Named &amp; sourced</x:v>
      </x:c>
      <x:c r="M46" s="24" t="str">
        <x:v>Yes</x:v>
      </x:c>
      <x:c r="N46" s="24" t="str"/>
      <x:c r="O46" s="24" t="str">
        <x:v>https://www.scribd.com/document/501357601/Durango-Wildlands-Mastersheet</x:v>
      </x:c>
    </x:row>
    <x:row r="47" ht="30" customHeight="1">
      <x:c r="A47" s="24" t="str">
        <x:v>DW-T0043</x:v>
      </x:c>
      <x:c r="B47" s="24" t="str">
        <x:v>Career guides</x:v>
      </x:c>
      <x:c r="C47" s="24" t="str">
        <x:v>Basic Hunting Tactics</x:v>
      </x:c>
      <x:c r="D47" s="24" t="str">
        <x:v>Combat / Basics</x:v>
      </x:c>
      <x:c r="E47" s="24" t="str">
        <x:v>Career Guide UI</x:v>
      </x:c>
      <x:c r="F47" s="24" t="str">
        <x:v>Complete the matching Career Guide skill-learning checklist; individual requirements mostly unarchived.</x:v>
      </x:c>
      <x:c r="G47" s="24" t="str"/>
      <x:c r="H47" s="26"/>
      <x:c r="I47" s="26"/>
      <x:c r="J47" s="24" t="str">
        <x:v>Unlock title 'Basic Hunting Tactics'; Max Health +40</x:v>
      </x:c>
      <x:c r="K47" s="24" t="str">
        <x:v>One-time</x:v>
      </x:c>
      <x:c r="L47" s="24" t="str">
        <x:v>Named &amp; sourced; checklist missing</x:v>
      </x:c>
      <x:c r="M47" s="24" t="str">
        <x:v>Yes</x:v>
      </x:c>
      <x:c r="N47" s="24" t="str">
        <x:v>Title stat bonus: 5 STR; 5 END. These numbers are title ATTRIBUTES, not skill-point costs. Career-guide progression is based on learned skills.</x:v>
      </x:c>
      <x:c r="O47" s="24" t="str">
        <x:v>https://www.scribd.com/document/501357601/Durango-Wildlands-Mastersheet</x:v>
      </x:c>
    </x:row>
    <x:row r="48" ht="30" customHeight="1">
      <x:c r="A48" s="24" t="str">
        <x:v>DW-T0044</x:v>
      </x:c>
      <x:c r="B48" s="24" t="str">
        <x:v>Career guides</x:v>
      </x:c>
      <x:c r="C48" s="24" t="str">
        <x:v>One-Handed Combat: Read Your Enemy</x:v>
      </x:c>
      <x:c r="D48" s="24" t="str">
        <x:v>Combat / One-Handed Melee</x:v>
      </x:c>
      <x:c r="E48" s="24" t="str">
        <x:v>Career Guide UI</x:v>
      </x:c>
      <x:c r="F48" s="24" t="str">
        <x:v>Complete the matching Career Guide skill-learning checklist; individual requirements mostly unarchived.</x:v>
      </x:c>
      <x:c r="G48" s="24" t="str"/>
      <x:c r="H48" s="26"/>
      <x:c r="I48" s="26"/>
      <x:c r="J48" s="24" t="str">
        <x:v>Unlock title 'One-Handed Combat: Read Your Enemy'; Life/sec +0.5</x:v>
      </x:c>
      <x:c r="K48" s="24" t="str">
        <x:v>One-time</x:v>
      </x:c>
      <x:c r="L48" s="24" t="str">
        <x:v>Named &amp; sourced; checklist missing</x:v>
      </x:c>
      <x:c r="M48" s="24" t="str">
        <x:v>Yes</x:v>
      </x:c>
      <x:c r="N48" s="24" t="str">
        <x:v>Title stat bonus: 15 STR. These numbers are title ATTRIBUTES, not skill-point costs. Career-guide progression is based on learned skills.</x:v>
      </x:c>
      <x:c r="O48" s="24" t="str">
        <x:v>https://www.scribd.com/document/501357601/Durango-Wildlands-Mastersheet</x:v>
      </x:c>
    </x:row>
    <x:row r="49" ht="30" customHeight="1">
      <x:c r="A49" s="24" t="str">
        <x:v>DW-T0045</x:v>
      </x:c>
      <x:c r="B49" s="24" t="str">
        <x:v>Career guides</x:v>
      </x:c>
      <x:c r="C49" s="24" t="str">
        <x:v>One-Handed Combat: Cognitive Psychology</x:v>
      </x:c>
      <x:c r="D49" s="24" t="str">
        <x:v>Combat / One-Handed Melee</x:v>
      </x:c>
      <x:c r="E49" s="24" t="str">
        <x:v>Career Guide UI</x:v>
      </x:c>
      <x:c r="F49" s="24" t="str">
        <x:v>Complete the matching Career Guide skill-learning checklist; individual requirements mostly unarchived.</x:v>
      </x:c>
      <x:c r="G49" s="24" t="str"/>
      <x:c r="H49" s="26"/>
      <x:c r="I49" s="26"/>
      <x:c r="J49" s="24" t="str">
        <x:v>Unlock title 'One-Handed Combat: Cognitive Psychology'; Life/sec +1</x:v>
      </x:c>
      <x:c r="K49" s="24" t="str">
        <x:v>One-time</x:v>
      </x:c>
      <x:c r="L49" s="24" t="str">
        <x:v>Named &amp; sourced; checklist missing</x:v>
      </x:c>
      <x:c r="M49" s="24" t="str">
        <x:v>Yes</x:v>
      </x:c>
      <x:c r="N49" s="24" t="str">
        <x:v>Title stat bonus: 23 STR. These numbers are title ATTRIBUTES, not skill-point costs. Career-guide progression is based on learned skills.</x:v>
      </x:c>
      <x:c r="O49" s="24" t="str">
        <x:v>https://www.scribd.com/document/501357601/Durango-Wildlands-Mastersheet</x:v>
      </x:c>
    </x:row>
    <x:row r="50" ht="30" customHeight="1">
      <x:c r="A50" s="24" t="str">
        <x:v>DW-T0046</x:v>
      </x:c>
      <x:c r="B50" s="24" t="str">
        <x:v>Career guides</x:v>
      </x:c>
      <x:c r="C50" s="24" t="str">
        <x:v>One-Handed Combat: Criminal Psychology</x:v>
      </x:c>
      <x:c r="D50" s="24" t="str">
        <x:v>Combat / One-Handed Melee</x:v>
      </x:c>
      <x:c r="E50" s="24" t="str">
        <x:v>Career Guide UI</x:v>
      </x:c>
      <x:c r="F50" s="24" t="str">
        <x:v>Complete the matching Career Guide skill-learning checklist; individual requirements mostly unarchived.</x:v>
      </x:c>
      <x:c r="G50" s="24" t="str"/>
      <x:c r="H50" s="26"/>
      <x:c r="I50" s="26"/>
      <x:c r="J50" s="24" t="str">
        <x:v>Unlock title 'One-Handed Combat: Criminal Psychology'; Life/sec +1.5</x:v>
      </x:c>
      <x:c r="K50" s="24" t="str">
        <x:v>One-time</x:v>
      </x:c>
      <x:c r="L50" s="24" t="str">
        <x:v>Named &amp; sourced; checklist missing</x:v>
      </x:c>
      <x:c r="M50" s="24" t="str">
        <x:v>Yes</x:v>
      </x:c>
      <x:c r="N50" s="24" t="str">
        <x:v>Title stat bonus: 30 STR. These numbers are title ATTRIBUTES, not skill-point costs. Career-guide progression is based on learned skills.</x:v>
      </x:c>
      <x:c r="O50" s="24" t="str">
        <x:v>https://www.scribd.com/document/501357601/Durango-Wildlands-Mastersheet</x:v>
      </x:c>
    </x:row>
    <x:row r="51" ht="30" customHeight="1">
      <x:c r="A51" s="24" t="str">
        <x:v>DW-T0047</x:v>
      </x:c>
      <x:c r="B51" s="24" t="str">
        <x:v>Career guides</x:v>
      </x:c>
      <x:c r="C51" s="24" t="str">
        <x:v>Two-Handed Combat: Critical Thinking</x:v>
      </x:c>
      <x:c r="D51" s="24" t="str">
        <x:v>Combat / Two-Handed Melee</x:v>
      </x:c>
      <x:c r="E51" s="24" t="str">
        <x:v>Career Guide UI</x:v>
      </x:c>
      <x:c r="F51" s="24" t="str">
        <x:v>Complete the matching Career Guide skill-learning checklist; individual requirements mostly unarchived.</x:v>
      </x:c>
      <x:c r="G51" s="24" t="str"/>
      <x:c r="H51" s="26"/>
      <x:c r="I51" s="26"/>
      <x:c r="J51" s="24" t="str">
        <x:v>Unlock title 'Two-Handed Combat: Critical Thinking'; Max Health +60</x:v>
      </x:c>
      <x:c r="K51" s="24" t="str">
        <x:v>One-time</x:v>
      </x:c>
      <x:c r="L51" s="24" t="str">
        <x:v>Named &amp; sourced; checklist missing</x:v>
      </x:c>
      <x:c r="M51" s="24" t="str">
        <x:v>Yes</x:v>
      </x:c>
      <x:c r="N51" s="24" t="str">
        <x:v>Title stat bonus: 15 END. These numbers are title ATTRIBUTES, not skill-point costs. Career-guide progression is based on learned skills.</x:v>
      </x:c>
      <x:c r="O51" s="24" t="str">
        <x:v>https://www.scribd.com/document/501357601/Durango-Wildlands-Mastersheet</x:v>
      </x:c>
    </x:row>
    <x:row r="52" ht="30" customHeight="1">
      <x:c r="A52" s="24" t="str">
        <x:v>DW-T0048</x:v>
      </x:c>
      <x:c r="B52" s="24" t="str">
        <x:v>Career guides</x:v>
      </x:c>
      <x:c r="C52" s="24" t="str">
        <x:v>Two-Handed Combat: Warrior's Doctrine</x:v>
      </x:c>
      <x:c r="D52" s="24" t="str">
        <x:v>Combat / Two-Handed Melee</x:v>
      </x:c>
      <x:c r="E52" s="24" t="str">
        <x:v>Career Guide UI</x:v>
      </x:c>
      <x:c r="F52" s="24" t="str">
        <x:v>Complete the matching Career Guide skill-learning checklist; individual requirements mostly unarchived.</x:v>
      </x:c>
      <x:c r="G52" s="24" t="str"/>
      <x:c r="H52" s="26"/>
      <x:c r="I52" s="26"/>
      <x:c r="J52" s="24" t="str">
        <x:v>Unlock title 'Two-Handed Combat: Warrior's Doctrine'; Max Health +80</x:v>
      </x:c>
      <x:c r="K52" s="24" t="str">
        <x:v>One-time</x:v>
      </x:c>
      <x:c r="L52" s="24" t="str">
        <x:v>Named &amp; sourced; checklist missing</x:v>
      </x:c>
      <x:c r="M52" s="24" t="str">
        <x:v>Yes</x:v>
      </x:c>
      <x:c r="N52" s="24" t="str">
        <x:v>Title stat bonus: 23 END. These numbers are title ATTRIBUTES, not skill-point costs. Career-guide progression is based on learned skills.</x:v>
      </x:c>
      <x:c r="O52" s="24" t="str">
        <x:v>https://www.scribd.com/document/501357601/Durango-Wildlands-Mastersheet</x:v>
      </x:c>
    </x:row>
    <x:row r="53" ht="30" customHeight="1">
      <x:c r="A53" s="24" t="str">
        <x:v>DW-T0049</x:v>
      </x:c>
      <x:c r="B53" s="24" t="str">
        <x:v>Career guides</x:v>
      </x:c>
      <x:c r="C53" s="24" t="str">
        <x:v>Two-Handed Combat: Battlefield Ethics</x:v>
      </x:c>
      <x:c r="D53" s="24" t="str">
        <x:v>Combat / Two-Handed Melee</x:v>
      </x:c>
      <x:c r="E53" s="24" t="str">
        <x:v>Career Guide UI</x:v>
      </x:c>
      <x:c r="F53" s="24" t="str">
        <x:v>Complete the matching Career Guide skill-learning checklist; individual requirements mostly unarchived.</x:v>
      </x:c>
      <x:c r="G53" s="24" t="str"/>
      <x:c r="H53" s="26"/>
      <x:c r="I53" s="26"/>
      <x:c r="J53" s="24" t="str">
        <x:v>Unlock title 'Two-Handed Combat: Battlefield Ethics'; Max Health +100</x:v>
      </x:c>
      <x:c r="K53" s="24" t="str">
        <x:v>One-time</x:v>
      </x:c>
      <x:c r="L53" s="24" t="str">
        <x:v>Named &amp; sourced; checklist missing</x:v>
      </x:c>
      <x:c r="M53" s="24" t="str">
        <x:v>Yes</x:v>
      </x:c>
      <x:c r="N53" s="24" t="str">
        <x:v>Title stat bonus: 30 END. These numbers are title ATTRIBUTES, not skill-point costs. Career-guide progression is based on learned skills.</x:v>
      </x:c>
      <x:c r="O53" s="24" t="str">
        <x:v>https://www.scribd.com/document/501357601/Durango-Wildlands-Mastersheet</x:v>
      </x:c>
    </x:row>
    <x:row r="54" ht="30" customHeight="1">
      <x:c r="A54" s="24" t="str">
        <x:v>DW-T0050</x:v>
      </x:c>
      <x:c r="B54" s="24" t="str">
        <x:v>Career guides</x:v>
      </x:c>
      <x:c r="C54" s="24" t="str">
        <x:v>Archery and Calculus</x:v>
      </x:c>
      <x:c r="D54" s="24" t="str">
        <x:v>Combat / Ranged</x:v>
      </x:c>
      <x:c r="E54" s="24" t="str">
        <x:v>Career Guide UI</x:v>
      </x:c>
      <x:c r="F54" s="24" t="str">
        <x:v>Complete the matching Career Guide skill-learning checklist; individual requirements mostly unarchived.</x:v>
      </x:c>
      <x:c r="G54" s="24" t="str"/>
      <x:c r="H54" s="26"/>
      <x:c r="I54" s="26"/>
      <x:c r="J54" s="24" t="str">
        <x:v>Unlock title 'Archery and Calculus'; Accuracy +3</x:v>
      </x:c>
      <x:c r="K54" s="24" t="str">
        <x:v>One-time</x:v>
      </x:c>
      <x:c r="L54" s="24" t="str">
        <x:v>Named &amp; sourced; checklist missing</x:v>
      </x:c>
      <x:c r="M54" s="24" t="str">
        <x:v>Yes</x:v>
      </x:c>
      <x:c r="N54" s="24" t="str">
        <x:v>Title stat bonus: 15 AGI. These numbers are title ATTRIBUTES, not skill-point costs. Career-guide progression is based on learned skills.</x:v>
      </x:c>
      <x:c r="O54" s="24" t="str">
        <x:v>https://www.scribd.com/document/501357601/Durango-Wildlands-Mastersheet</x:v>
      </x:c>
    </x:row>
    <x:row r="55" ht="30" customHeight="1">
      <x:c r="A55" s="24" t="str">
        <x:v>DW-T0051</x:v>
      </x:c>
      <x:c r="B55" s="24" t="str">
        <x:v>Career guides</x:v>
      </x:c>
      <x:c r="C55" s="24" t="str">
        <x:v>Archery and Classical Mechanics</x:v>
      </x:c>
      <x:c r="D55" s="24" t="str">
        <x:v>Combat / Ranged</x:v>
      </x:c>
      <x:c r="E55" s="24" t="str">
        <x:v>Career Guide UI</x:v>
      </x:c>
      <x:c r="F55" s="24" t="str">
        <x:v>Complete the matching Career Guide skill-learning checklist; individual requirements mostly unarchived.</x:v>
      </x:c>
      <x:c r="G55" s="24" t="str"/>
      <x:c r="H55" s="26"/>
      <x:c r="I55" s="26"/>
      <x:c r="J55" s="24" t="str">
        <x:v>Unlock title 'Archery and Classical Mechanics'; Accuracy +4</x:v>
      </x:c>
      <x:c r="K55" s="24" t="str">
        <x:v>One-time</x:v>
      </x:c>
      <x:c r="L55" s="24" t="str">
        <x:v>Named &amp; sourced; checklist missing</x:v>
      </x:c>
      <x:c r="M55" s="24" t="str">
        <x:v>Yes</x:v>
      </x:c>
      <x:c r="N55" s="24" t="str">
        <x:v>Title stat bonus: 23 AGI. These numbers are title ATTRIBUTES, not skill-point costs. Career-guide progression is based on learned skills.</x:v>
      </x:c>
      <x:c r="O55" s="24" t="str">
        <x:v>https://www.scribd.com/document/501357601/Durango-Wildlands-Mastersheet</x:v>
      </x:c>
    </x:row>
    <x:row r="56" ht="30" customHeight="1">
      <x:c r="A56" s="24" t="str">
        <x:v>DW-T0052</x:v>
      </x:c>
      <x:c r="B56" s="24" t="str">
        <x:v>Career guides</x:v>
      </x:c>
      <x:c r="C56" s="24" t="str">
        <x:v>Archery and the Theory of Relativity</x:v>
      </x:c>
      <x:c r="D56" s="24" t="str">
        <x:v>Combat / Ranged</x:v>
      </x:c>
      <x:c r="E56" s="24" t="str">
        <x:v>Career Guide UI</x:v>
      </x:c>
      <x:c r="F56" s="24" t="str">
        <x:v>Complete the matching Career Guide skill-learning checklist; individual requirements mostly unarchived.</x:v>
      </x:c>
      <x:c r="G56" s="24" t="str"/>
      <x:c r="H56" s="26"/>
      <x:c r="I56" s="26"/>
      <x:c r="J56" s="24" t="str">
        <x:v>Unlock title 'Archery and the Theory of Relativity'; Accuracy +5</x:v>
      </x:c>
      <x:c r="K56" s="24" t="str">
        <x:v>One-time</x:v>
      </x:c>
      <x:c r="L56" s="24" t="str">
        <x:v>Named &amp; sourced; checklist missing</x:v>
      </x:c>
      <x:c r="M56" s="24" t="str">
        <x:v>Yes</x:v>
      </x:c>
      <x:c r="N56" s="24" t="str">
        <x:v>Title stat bonus: 30 AGI. These numbers are title ATTRIBUTES, not skill-point costs. Career-guide progression is based on learned skills.</x:v>
      </x:c>
      <x:c r="O56" s="24" t="str">
        <x:v>https://www.scribd.com/document/501357601/Durango-Wildlands-Mastersheet</x:v>
      </x:c>
    </x:row>
    <x:row r="57" ht="30" customHeight="1">
      <x:c r="A57" s="24" t="str">
        <x:v>DW-T0053</x:v>
      </x:c>
      <x:c r="B57" s="24" t="str">
        <x:v>Career guides</x:v>
      </x:c>
      <x:c r="C57" s="24" t="str">
        <x:v>Animal Anatomy</x:v>
      </x:c>
      <x:c r="D57" s="24" t="str">
        <x:v>Combat / Butchering</x:v>
      </x:c>
      <x:c r="E57" s="24" t="str">
        <x:v>Career Guide UI</x:v>
      </x:c>
      <x:c r="F57" s="24" t="str">
        <x:v>Complete the matching Career Guide skill-learning checklist; individual requirements mostly unarchived.</x:v>
      </x:c>
      <x:c r="G57" s="24" t="str"/>
      <x:c r="H57" s="26"/>
      <x:c r="I57" s="26"/>
      <x:c r="J57" s="24" t="str">
        <x:v>Unlock title 'Animal Anatomy'; Slaughter Ability +2</x:v>
      </x:c>
      <x:c r="K57" s="24" t="str">
        <x:v>One-time</x:v>
      </x:c>
      <x:c r="L57" s="24" t="str">
        <x:v>Named &amp; sourced; checklist missing</x:v>
      </x:c>
      <x:c r="M57" s="24" t="str">
        <x:v>Yes</x:v>
      </x:c>
      <x:c r="N57" s="24" t="str">
        <x:v>Title stat bonus: 0 stat points listed. These numbers are title ATTRIBUTES, not skill-point costs. Career-guide progression is based on learned skills.</x:v>
      </x:c>
      <x:c r="O57" s="24" t="str">
        <x:v>https://www.scribd.com/document/501357601/Durango-Wildlands-Mastersheet</x:v>
      </x:c>
    </x:row>
    <x:row r="58" ht="30" customHeight="1">
      <x:c r="A58" s="24" t="str">
        <x:v>DW-T0054</x:v>
      </x:c>
      <x:c r="B58" s="24" t="str">
        <x:v>Career guides</x:v>
      </x:c>
      <x:c r="C58" s="24" t="str">
        <x:v>Animal Dissection Lab</x:v>
      </x:c>
      <x:c r="D58" s="24" t="str">
        <x:v>Combat / Butchering</x:v>
      </x:c>
      <x:c r="E58" s="24" t="str">
        <x:v>Career Guide UI</x:v>
      </x:c>
      <x:c r="F58" s="24" t="str">
        <x:v>Complete the matching Career Guide skill-learning checklist; individual requirements mostly unarchived.</x:v>
      </x:c>
      <x:c r="G58" s="24" t="str"/>
      <x:c r="H58" s="26"/>
      <x:c r="I58" s="26"/>
      <x:c r="J58" s="24" t="str">
        <x:v>Unlock title 'Animal Dissection Lab'; Slaughter Ability +3</x:v>
      </x:c>
      <x:c r="K58" s="24" t="str">
        <x:v>One-time</x:v>
      </x:c>
      <x:c r="L58" s="24" t="str">
        <x:v>Named &amp; sourced; checklist missing</x:v>
      </x:c>
      <x:c r="M58" s="24" t="str">
        <x:v>Yes</x:v>
      </x:c>
      <x:c r="N58" s="24" t="str">
        <x:v>Title stat bonus: 0 stat points listed. These numbers are title ATTRIBUTES, not skill-point costs. Career-guide progression is based on learned skills.</x:v>
      </x:c>
      <x:c r="O58" s="24" t="str">
        <x:v>https://www.scribd.com/document/501357601/Durango-Wildlands-Mastersheet</x:v>
      </x:c>
    </x:row>
    <x:row r="59" ht="30" customHeight="1">
      <x:c r="A59" s="24" t="str">
        <x:v>DW-T0055</x:v>
      </x:c>
      <x:c r="B59" s="24" t="str">
        <x:v>Career guides</x:v>
      </x:c>
      <x:c r="C59" s="24" t="str">
        <x:v>Animal Molecular Biology</x:v>
      </x:c>
      <x:c r="D59" s="24" t="str">
        <x:v>Combat / Butchering</x:v>
      </x:c>
      <x:c r="E59" s="24" t="str">
        <x:v>Career Guide UI</x:v>
      </x:c>
      <x:c r="F59" s="24" t="str">
        <x:v>Complete the matching Career Guide skill-learning checklist; individual requirements mostly unarchived.</x:v>
      </x:c>
      <x:c r="G59" s="24" t="str"/>
      <x:c r="H59" s="26"/>
      <x:c r="I59" s="26"/>
      <x:c r="J59" s="24" t="str">
        <x:v>Unlock title 'Animal Molecular Biology'; Slaughter Ability +4</x:v>
      </x:c>
      <x:c r="K59" s="24" t="str">
        <x:v>One-time</x:v>
      </x:c>
      <x:c r="L59" s="24" t="str">
        <x:v>Named &amp; sourced; checklist missing</x:v>
      </x:c>
      <x:c r="M59" s="24" t="str">
        <x:v>Yes</x:v>
      </x:c>
      <x:c r="N59" s="24" t="str">
        <x:v>Title stat bonus: 0 stat points listed. These numbers are title ATTRIBUTES, not skill-point costs. Career-guide progression is based on learned skills.</x:v>
      </x:c>
      <x:c r="O59" s="24" t="str">
        <x:v>https://www.scribd.com/document/501357601/Durango-Wildlands-Mastersheet</x:v>
      </x:c>
    </x:row>
    <x:row r="60" ht="30" customHeight="1">
      <x:c r="A60" s="24" t="str">
        <x:v>DW-T0056</x:v>
      </x:c>
      <x:c r="B60" s="24" t="str">
        <x:v>Career guides</x:v>
      </x:c>
      <x:c r="C60" s="24" t="str">
        <x:v>Weapon Crafting 101</x:v>
      </x:c>
      <x:c r="D60" s="24" t="str">
        <x:v>Weapon Crafting / Basics</x:v>
      </x:c>
      <x:c r="E60" s="24" t="str">
        <x:v>Career Guide UI</x:v>
      </x:c>
      <x:c r="F60" s="24" t="str">
        <x:v>Complete the matching Career Guide skill-learning checklist; individual requirements mostly unarchived.</x:v>
      </x:c>
      <x:c r="G60" s="24" t="str"/>
      <x:c r="H60" s="26"/>
      <x:c r="I60" s="26"/>
      <x:c r="J60" s="24" t="str">
        <x:v>Unlock title 'Weapon Crafting 101'; Weapon Crafting Ability +1</x:v>
      </x:c>
      <x:c r="K60" s="24" t="str">
        <x:v>One-time</x:v>
      </x:c>
      <x:c r="L60" s="24" t="str">
        <x:v>Named &amp; sourced; checklist missing</x:v>
      </x:c>
      <x:c r="M60" s="24" t="str">
        <x:v>Yes</x:v>
      </x:c>
      <x:c r="N60" s="24" t="str">
        <x:v>Title stat bonus: 3 STR; 7 DEX. These numbers are title ATTRIBUTES, not skill-point costs. Career-guide progression is based on learned skills.</x:v>
      </x:c>
      <x:c r="O60" s="24" t="str">
        <x:v>https://www.scribd.com/document/501357601/Durango-Wildlands-Mastersheet</x:v>
      </x:c>
    </x:row>
    <x:row r="61" ht="30" customHeight="1">
      <x:c r="A61" s="24" t="str">
        <x:v>DW-T0057</x:v>
      </x:c>
      <x:c r="B61" s="24" t="str">
        <x:v>Career guides</x:v>
      </x:c>
      <x:c r="C61" s="24" t="str">
        <x:v>Basic Sword Production</x:v>
      </x:c>
      <x:c r="D61" s="24" t="str">
        <x:v>Weapon Crafting / Sword</x:v>
      </x:c>
      <x:c r="E61" s="24" t="str">
        <x:v>Career Guide UI</x:v>
      </x:c>
      <x:c r="F61" s="24" t="str">
        <x:v>Complete the matching Career Guide skill-learning checklist; individual requirements mostly unarchived.</x:v>
      </x:c>
      <x:c r="G61" s="24" t="str"/>
      <x:c r="H61" s="26"/>
      <x:c r="I61" s="26"/>
      <x:c r="J61" s="24" t="str">
        <x:v>Unlock title 'Basic Sword Production'; Weapon Crafting Ability +2</x:v>
      </x:c>
      <x:c r="K61" s="24" t="str">
        <x:v>One-time</x:v>
      </x:c>
      <x:c r="L61" s="24" t="str">
        <x:v>Named &amp; sourced; checklist missing</x:v>
      </x:c>
      <x:c r="M61" s="24" t="str">
        <x:v>Yes</x:v>
      </x:c>
      <x:c r="N61" s="24" t="str">
        <x:v>Title stat bonus: 15 DEX. These numbers are title ATTRIBUTES, not skill-point costs. Career-guide progression is based on learned skills.</x:v>
      </x:c>
      <x:c r="O61" s="24" t="str">
        <x:v>https://www.scribd.com/document/501357601/Durango-Wildlands-Mastersheet</x:v>
      </x:c>
    </x:row>
    <x:row r="62" ht="30" customHeight="1">
      <x:c r="A62" s="24" t="str">
        <x:v>DW-T0058</x:v>
      </x:c>
      <x:c r="B62" s="24" t="str">
        <x:v>Career guides</x:v>
      </x:c>
      <x:c r="C62" s="24" t="str">
        <x:v>Intermediate Sword Production</x:v>
      </x:c>
      <x:c r="D62" s="24" t="str">
        <x:v>Weapon Crafting / Sword</x:v>
      </x:c>
      <x:c r="E62" s="24" t="str">
        <x:v>Career Guide UI</x:v>
      </x:c>
      <x:c r="F62" s="24" t="str">
        <x:v>Complete the matching Career Guide skill-learning checklist; individual requirements mostly unarchived.</x:v>
      </x:c>
      <x:c r="G62" s="24" t="str"/>
      <x:c r="H62" s="26"/>
      <x:c r="I62" s="26"/>
      <x:c r="J62" s="24" t="str">
        <x:v>Unlock title 'Intermediate Sword Production'; Weapon Crafting Ability +3</x:v>
      </x:c>
      <x:c r="K62" s="24" t="str">
        <x:v>One-time</x:v>
      </x:c>
      <x:c r="L62" s="24" t="str">
        <x:v>Named &amp; sourced; checklist missing</x:v>
      </x:c>
      <x:c r="M62" s="24" t="str">
        <x:v>Yes</x:v>
      </x:c>
      <x:c r="N62" s="24" t="str">
        <x:v>Title stat bonus: 23 DEX. These numbers are title ATTRIBUTES, not skill-point costs. Career-guide progression is based on learned skills.</x:v>
      </x:c>
      <x:c r="O62" s="24" t="str">
        <x:v>https://www.scribd.com/document/501357601/Durango-Wildlands-Mastersheet</x:v>
      </x:c>
    </x:row>
    <x:row r="63" ht="30" customHeight="1">
      <x:c r="A63" s="24" t="str">
        <x:v>DW-T0059</x:v>
      </x:c>
      <x:c r="B63" s="24" t="str">
        <x:v>Career guides</x:v>
      </x:c>
      <x:c r="C63" s="24" t="str">
        <x:v>Advanced Sword Production</x:v>
      </x:c>
      <x:c r="D63" s="24" t="str">
        <x:v>Weapon Crafting / Sword</x:v>
      </x:c>
      <x:c r="E63" s="24" t="str">
        <x:v>Career Guide UI</x:v>
      </x:c>
      <x:c r="F63" s="24" t="str">
        <x:v>Complete the matching Career Guide skill-learning checklist; individual requirements mostly unarchived.</x:v>
      </x:c>
      <x:c r="G63" s="24" t="str"/>
      <x:c r="H63" s="26"/>
      <x:c r="I63" s="26"/>
      <x:c r="J63" s="24" t="str">
        <x:v>Unlock title 'Advanced Sword Production'; Weapon Crafting Ability +4</x:v>
      </x:c>
      <x:c r="K63" s="24" t="str">
        <x:v>One-time</x:v>
      </x:c>
      <x:c r="L63" s="24" t="str">
        <x:v>Named &amp; sourced; checklist missing</x:v>
      </x:c>
      <x:c r="M63" s="24" t="str">
        <x:v>Yes</x:v>
      </x:c>
      <x:c r="N63" s="24" t="str">
        <x:v>Title stat bonus: 30 DEX. These numbers are title ATTRIBUTES, not skill-point costs. Career-guide progression is based on learned skills.</x:v>
      </x:c>
      <x:c r="O63" s="24" t="str">
        <x:v>https://www.scribd.com/document/501357601/Durango-Wildlands-Mastersheet</x:v>
      </x:c>
    </x:row>
    <x:row r="64" ht="30" customHeight="1">
      <x:c r="A64" s="24" t="str">
        <x:v>DW-T0060</x:v>
      </x:c>
      <x:c r="B64" s="24" t="str">
        <x:v>Career guides</x:v>
      </x:c>
      <x:c r="C64" s="24" t="str">
        <x:v>Basic Axe Production</x:v>
      </x:c>
      <x:c r="D64" s="24" t="str">
        <x:v>Weapon Crafting / Axe</x:v>
      </x:c>
      <x:c r="E64" s="24" t="str">
        <x:v>Career Guide UI</x:v>
      </x:c>
      <x:c r="F64" s="24" t="str">
        <x:v>Complete the matching Career Guide skill-learning checklist; individual requirements mostly unarchived.</x:v>
      </x:c>
      <x:c r="G64" s="24" t="str"/>
      <x:c r="H64" s="26"/>
      <x:c r="I64" s="26"/>
      <x:c r="J64" s="24" t="str">
        <x:v>Unlock title 'Basic Axe Production'; Metal Processing Ability +2</x:v>
      </x:c>
      <x:c r="K64" s="24" t="str">
        <x:v>One-time</x:v>
      </x:c>
      <x:c r="L64" s="24" t="str">
        <x:v>Named &amp; sourced; checklist missing</x:v>
      </x:c>
      <x:c r="M64" s="24" t="str">
        <x:v>Yes</x:v>
      </x:c>
      <x:c r="N64" s="24" t="str">
        <x:v>Title stat bonus: 10 DEX; 5 WIL. These numbers are title ATTRIBUTES, not skill-point costs. Career-guide progression is based on learned skills.</x:v>
      </x:c>
      <x:c r="O64" s="24" t="str">
        <x:v>https://www.scribd.com/document/501357601/Durango-Wildlands-Mastersheet</x:v>
      </x:c>
    </x:row>
    <x:row r="65" ht="30" customHeight="1">
      <x:c r="A65" s="24" t="str">
        <x:v>DW-T0061</x:v>
      </x:c>
      <x:c r="B65" s="24" t="str">
        <x:v>Career guides</x:v>
      </x:c>
      <x:c r="C65" s="24" t="str">
        <x:v>Intermediate Axe Production</x:v>
      </x:c>
      <x:c r="D65" s="24" t="str">
        <x:v>Weapon Crafting / Axe</x:v>
      </x:c>
      <x:c r="E65" s="24" t="str">
        <x:v>Career Guide UI</x:v>
      </x:c>
      <x:c r="F65" s="24" t="str">
        <x:v>Complete the matching Career Guide skill-learning checklist; individual requirements mostly unarchived.</x:v>
      </x:c>
      <x:c r="G65" s="24" t="str"/>
      <x:c r="H65" s="26"/>
      <x:c r="I65" s="26"/>
      <x:c r="J65" s="24" t="str">
        <x:v>Unlock title 'Intermediate Axe Production'; Metal Processing Ability +3</x:v>
      </x:c>
      <x:c r="K65" s="24" t="str">
        <x:v>One-time</x:v>
      </x:c>
      <x:c r="L65" s="24" t="str">
        <x:v>Named &amp; sourced; checklist missing</x:v>
      </x:c>
      <x:c r="M65" s="24" t="str">
        <x:v>Yes</x:v>
      </x:c>
      <x:c r="N65" s="24" t="str">
        <x:v>Title stat bonus: 15 DEX; 8 WIL. These numbers are title ATTRIBUTES, not skill-point costs. Career-guide progression is based on learned skills.</x:v>
      </x:c>
      <x:c r="O65" s="24" t="str">
        <x:v>https://www.scribd.com/document/501357601/Durango-Wildlands-Mastersheet</x:v>
      </x:c>
    </x:row>
    <x:row r="66" ht="30" customHeight="1">
      <x:c r="A66" s="24" t="str">
        <x:v>DW-T0062</x:v>
      </x:c>
      <x:c r="B66" s="24" t="str">
        <x:v>Career guides</x:v>
      </x:c>
      <x:c r="C66" s="24" t="str">
        <x:v>Advanced Axe Production</x:v>
      </x:c>
      <x:c r="D66" s="24" t="str">
        <x:v>Weapon Crafting / Axe</x:v>
      </x:c>
      <x:c r="E66" s="24" t="str">
        <x:v>Career Guide UI</x:v>
      </x:c>
      <x:c r="F66" s="24" t="str">
        <x:v>Complete the matching Career Guide skill-learning checklist; individual requirements mostly unarchived.</x:v>
      </x:c>
      <x:c r="G66" s="24" t="str"/>
      <x:c r="H66" s="26"/>
      <x:c r="I66" s="26"/>
      <x:c r="J66" s="24" t="str">
        <x:v>Unlock title 'Advanced Axe Production'; Metal Processing Ability +4</x:v>
      </x:c>
      <x:c r="K66" s="24" t="str">
        <x:v>One-time</x:v>
      </x:c>
      <x:c r="L66" s="24" t="str">
        <x:v>Named &amp; sourced; checklist missing</x:v>
      </x:c>
      <x:c r="M66" s="24" t="str">
        <x:v>Yes</x:v>
      </x:c>
      <x:c r="N66" s="24" t="str">
        <x:v>Title stat bonus: 20 DEX; 10 WIL. These numbers are title ATTRIBUTES, not skill-point costs. Career-guide progression is based on learned skills.</x:v>
      </x:c>
      <x:c r="O66" s="24" t="str">
        <x:v>https://www.scribd.com/document/501357601/Durango-Wildlands-Mastersheet</x:v>
      </x:c>
    </x:row>
    <x:row r="67" ht="30" customHeight="1">
      <x:c r="A67" s="24" t="str">
        <x:v>DW-T0063</x:v>
      </x:c>
      <x:c r="B67" s="24" t="str">
        <x:v>Career guides</x:v>
      </x:c>
      <x:c r="C67" s="24" t="str">
        <x:v>Basic Blunt Weapon Production</x:v>
      </x:c>
      <x:c r="D67" s="24" t="str">
        <x:v>Weapon Crafting / Blunt Weapon</x:v>
      </x:c>
      <x:c r="E67" s="24" t="str">
        <x:v>Career Guide UI</x:v>
      </x:c>
      <x:c r="F67" s="24" t="str">
        <x:v>Complete the matching Career Guide skill-learning checklist; individual requirements mostly unarchived.</x:v>
      </x:c>
      <x:c r="G67" s="24" t="str"/>
      <x:c r="H67" s="26"/>
      <x:c r="I67" s="26"/>
      <x:c r="J67" s="24" t="str">
        <x:v>Unlock title 'Basic Blunt Weapon Production'; Handicraft Ability +2</x:v>
      </x:c>
      <x:c r="K67" s="24" t="str">
        <x:v>One-time</x:v>
      </x:c>
      <x:c r="L67" s="24" t="str">
        <x:v>Named &amp; sourced; checklist missing</x:v>
      </x:c>
      <x:c r="M67" s="24" t="str">
        <x:v>Yes</x:v>
      </x:c>
      <x:c r="N67" s="24" t="str">
        <x:v>Title stat bonus: 10 STR; 5 DEX. These numbers are title ATTRIBUTES, not skill-point costs. Career-guide progression is based on learned skills.</x:v>
      </x:c>
      <x:c r="O67" s="24" t="str">
        <x:v>https://www.scribd.com/document/501357601/Durango-Wildlands-Mastersheet</x:v>
      </x:c>
    </x:row>
    <x:row r="68" ht="30" customHeight="1">
      <x:c r="A68" s="24" t="str">
        <x:v>DW-T0064</x:v>
      </x:c>
      <x:c r="B68" s="24" t="str">
        <x:v>Career guides</x:v>
      </x:c>
      <x:c r="C68" s="24" t="str">
        <x:v>Intermediate Blunt Weapon Production</x:v>
      </x:c>
      <x:c r="D68" s="24" t="str">
        <x:v>Weapon Crafting / Blunt Weapon</x:v>
      </x:c>
      <x:c r="E68" s="24" t="str">
        <x:v>Career Guide UI</x:v>
      </x:c>
      <x:c r="F68" s="24" t="str">
        <x:v>Complete the matching Career Guide skill-learning checklist; individual requirements mostly unarchived.</x:v>
      </x:c>
      <x:c r="G68" s="24" t="str"/>
      <x:c r="H68" s="26"/>
      <x:c r="I68" s="26"/>
      <x:c r="J68" s="24" t="str">
        <x:v>Unlock title 'Intermediate Blunt Weapon Production'; Handicraft Ability +3</x:v>
      </x:c>
      <x:c r="K68" s="24" t="str">
        <x:v>One-time</x:v>
      </x:c>
      <x:c r="L68" s="24" t="str">
        <x:v>Named &amp; sourced; checklist missing</x:v>
      </x:c>
      <x:c r="M68" s="24" t="str">
        <x:v>Yes</x:v>
      </x:c>
      <x:c r="N68" s="24" t="str">
        <x:v>Title stat bonus: 15 STR; 8 DEX. These numbers are title ATTRIBUTES, not skill-point costs. Career-guide progression is based on learned skills.</x:v>
      </x:c>
      <x:c r="O68" s="24" t="str">
        <x:v>https://www.scribd.com/document/501357601/Durango-Wildlands-Mastersheet</x:v>
      </x:c>
    </x:row>
    <x:row r="69" ht="30" customHeight="1">
      <x:c r="A69" s="24" t="str">
        <x:v>DW-T0065</x:v>
      </x:c>
      <x:c r="B69" s="24" t="str">
        <x:v>Career guides</x:v>
      </x:c>
      <x:c r="C69" s="24" t="str">
        <x:v>Advanced Blunt Weapon Production</x:v>
      </x:c>
      <x:c r="D69" s="24" t="str">
        <x:v>Weapon Crafting / Blunt Weapon</x:v>
      </x:c>
      <x:c r="E69" s="24" t="str">
        <x:v>Career Guide UI</x:v>
      </x:c>
      <x:c r="F69" s="24" t="str">
        <x:v>Complete the matching Career Guide skill-learning checklist; individual requirements mostly unarchived.</x:v>
      </x:c>
      <x:c r="G69" s="24" t="str"/>
      <x:c r="H69" s="26"/>
      <x:c r="I69" s="26"/>
      <x:c r="J69" s="24" t="str">
        <x:v>Unlock title 'Advanced Blunt Weapon Production'; Handicraft Ability +4</x:v>
      </x:c>
      <x:c r="K69" s="24" t="str">
        <x:v>One-time</x:v>
      </x:c>
      <x:c r="L69" s="24" t="str">
        <x:v>Named &amp; sourced; checklist missing</x:v>
      </x:c>
      <x:c r="M69" s="24" t="str">
        <x:v>Yes</x:v>
      </x:c>
      <x:c r="N69" s="24" t="str">
        <x:v>Title stat bonus: 20 STR; 10 DEX. These numbers are title ATTRIBUTES, not skill-point costs. Career-guide progression is based on learned skills.</x:v>
      </x:c>
      <x:c r="O69" s="24" t="str">
        <x:v>https://www.scribd.com/document/501357601/Durango-Wildlands-Mastersheet</x:v>
      </x:c>
    </x:row>
    <x:row r="70" ht="30" customHeight="1">
      <x:c r="A70" s="24" t="str">
        <x:v>DW-T0066</x:v>
      </x:c>
      <x:c r="B70" s="24" t="str">
        <x:v>Career guides</x:v>
      </x:c>
      <x:c r="C70" s="24" t="str">
        <x:v>Basic Bow Production</x:v>
      </x:c>
      <x:c r="D70" s="24" t="str">
        <x:v>Weapon Crafting / Bow</x:v>
      </x:c>
      <x:c r="E70" s="24" t="str">
        <x:v>Career Guide UI</x:v>
      </x:c>
      <x:c r="F70" s="24" t="str">
        <x:v>Complete the matching Career Guide skill-learning checklist; individual requirements mostly unarchived.</x:v>
      </x:c>
      <x:c r="G70" s="24" t="str"/>
      <x:c r="H70" s="26"/>
      <x:c r="I70" s="26"/>
      <x:c r="J70" s="24" t="str">
        <x:v>Unlock title 'Basic Bow Production'; Weapon Crafting Ability +2</x:v>
      </x:c>
      <x:c r="K70" s="24" t="str">
        <x:v>One-time</x:v>
      </x:c>
      <x:c r="L70" s="24" t="str">
        <x:v>Named &amp; sourced; checklist missing</x:v>
      </x:c>
      <x:c r="M70" s="24" t="str">
        <x:v>Yes</x:v>
      </x:c>
      <x:c r="N70" s="24" t="str">
        <x:v>Title stat bonus: 5 STR; 10 DEX. These numbers are title ATTRIBUTES, not skill-point costs. Career-guide progression is based on learned skills.</x:v>
      </x:c>
      <x:c r="O70" s="24" t="str">
        <x:v>https://www.scribd.com/document/501357601/Durango-Wildlands-Mastersheet</x:v>
      </x:c>
    </x:row>
    <x:row r="71" ht="30" customHeight="1">
      <x:c r="A71" s="24" t="str">
        <x:v>DW-T0067</x:v>
      </x:c>
      <x:c r="B71" s="24" t="str">
        <x:v>Career guides</x:v>
      </x:c>
      <x:c r="C71" s="24" t="str">
        <x:v>Intermediate Bow Production</x:v>
      </x:c>
      <x:c r="D71" s="24" t="str">
        <x:v>Weapon Crafting / Bow</x:v>
      </x:c>
      <x:c r="E71" s="24" t="str">
        <x:v>Career Guide UI</x:v>
      </x:c>
      <x:c r="F71" s="24" t="str">
        <x:v>Complete the matching Career Guide skill-learning checklist; individual requirements mostly unarchived.</x:v>
      </x:c>
      <x:c r="G71" s="24" t="str"/>
      <x:c r="H71" s="26"/>
      <x:c r="I71" s="26"/>
      <x:c r="J71" s="24" t="str">
        <x:v>Unlock title 'Intermediate Bow Production'; Weapon Crafting Ability +3</x:v>
      </x:c>
      <x:c r="K71" s="24" t="str">
        <x:v>One-time</x:v>
      </x:c>
      <x:c r="L71" s="24" t="str">
        <x:v>Named &amp; sourced; checklist missing</x:v>
      </x:c>
      <x:c r="M71" s="24" t="str">
        <x:v>Yes</x:v>
      </x:c>
      <x:c r="N71" s="24" t="str">
        <x:v>Title stat bonus: 8 STR; 15 DEX. These numbers are title ATTRIBUTES, not skill-point costs. Career-guide progression is based on learned skills.</x:v>
      </x:c>
      <x:c r="O71" s="24" t="str">
        <x:v>https://www.scribd.com/document/501357601/Durango-Wildlands-Mastersheet</x:v>
      </x:c>
    </x:row>
    <x:row r="72" ht="30" customHeight="1">
      <x:c r="A72" s="24" t="str">
        <x:v>DW-T0068</x:v>
      </x:c>
      <x:c r="B72" s="24" t="str">
        <x:v>Career guides</x:v>
      </x:c>
      <x:c r="C72" s="24" t="str">
        <x:v>Advanced Bow Production</x:v>
      </x:c>
      <x:c r="D72" s="24" t="str">
        <x:v>Weapon Crafting / Bow</x:v>
      </x:c>
      <x:c r="E72" s="24" t="str">
        <x:v>Career Guide UI</x:v>
      </x:c>
      <x:c r="F72" s="24" t="str">
        <x:v>Complete the matching Career Guide skill-learning checklist; individual requirements mostly unarchived.</x:v>
      </x:c>
      <x:c r="G72" s="24" t="str"/>
      <x:c r="H72" s="26"/>
      <x:c r="I72" s="26"/>
      <x:c r="J72" s="24" t="str">
        <x:v>Unlock title 'Advanced Bow Production'; Weapon Crafting Ability +4</x:v>
      </x:c>
      <x:c r="K72" s="24" t="str">
        <x:v>One-time</x:v>
      </x:c>
      <x:c r="L72" s="24" t="str">
        <x:v>Named &amp; sourced; checklist missing</x:v>
      </x:c>
      <x:c r="M72" s="24" t="str">
        <x:v>Yes</x:v>
      </x:c>
      <x:c r="N72" s="24" t="str">
        <x:v>Title stat bonus: 10 STR; 20 DEX. These numbers are title ATTRIBUTES, not skill-point costs. Career-guide progression is based on learned skills.</x:v>
      </x:c>
      <x:c r="O72" s="24" t="str">
        <x:v>https://www.scribd.com/document/501357601/Durango-Wildlands-Mastersheet</x:v>
      </x:c>
    </x:row>
    <x:row r="73" ht="30" customHeight="1">
      <x:c r="A73" s="24" t="str">
        <x:v>DW-T0069</x:v>
      </x:c>
      <x:c r="B73" s="24" t="str">
        <x:v>Career guides</x:v>
      </x:c>
      <x:c r="C73" s="24" t="str">
        <x:v>Tailoring 101</x:v>
      </x:c>
      <x:c r="D73" s="24" t="str">
        <x:v>Tailoring / Basics</x:v>
      </x:c>
      <x:c r="E73" s="24" t="str">
        <x:v>Career Guide UI</x:v>
      </x:c>
      <x:c r="F73" s="24" t="str">
        <x:v>Complete the matching Career Guide skill-learning checklist; individual requirements mostly unarchived.</x:v>
      </x:c>
      <x:c r="G73" s="24" t="str"/>
      <x:c r="H73" s="26"/>
      <x:c r="I73" s="26"/>
      <x:c r="J73" s="24" t="str">
        <x:v>Unlock title 'Tailoring 101'; Tailoring Ability +1</x:v>
      </x:c>
      <x:c r="K73" s="24" t="str">
        <x:v>One-time</x:v>
      </x:c>
      <x:c r="L73" s="24" t="str">
        <x:v>Named &amp; sourced; checklist missing</x:v>
      </x:c>
      <x:c r="M73" s="24" t="str">
        <x:v>Yes</x:v>
      </x:c>
      <x:c r="N73" s="24" t="str">
        <x:v>Title stat bonus: 3 CHA; 7 DEX. These numbers are title ATTRIBUTES, not skill-point costs. Career-guide progression is based on learned skills.</x:v>
      </x:c>
      <x:c r="O73" s="24" t="str">
        <x:v>https://www.scribd.com/document/501357601/Durango-Wildlands-Mastersheet</x:v>
      </x:c>
    </x:row>
    <x:row r="74" ht="30" customHeight="1">
      <x:c r="A74" s="24" t="str">
        <x:v>DW-T0070</x:v>
      </x:c>
      <x:c r="B74" s="24" t="str">
        <x:v>Career guides</x:v>
      </x:c>
      <x:c r="C74" s="24" t="str">
        <x:v>Tailoring Materials and You</x:v>
      </x:c>
      <x:c r="D74" s="24" t="str">
        <x:v>Tailoring / Basics</x:v>
      </x:c>
      <x:c r="E74" s="24" t="str">
        <x:v>Career Guide UI</x:v>
      </x:c>
      <x:c r="F74" s="24" t="str">
        <x:v>Complete the matching Career Guide skill-learning checklist; individual requirements mostly unarchived.</x:v>
      </x:c>
      <x:c r="G74" s="24" t="str"/>
      <x:c r="H74" s="26"/>
      <x:c r="I74" s="26"/>
      <x:c r="J74" s="24" t="str">
        <x:v>Unlock title 'Tailoring Materials and You'; Tailoring Ability +2</x:v>
      </x:c>
      <x:c r="K74" s="24" t="str">
        <x:v>One-time</x:v>
      </x:c>
      <x:c r="L74" s="24" t="str">
        <x:v>Named &amp; sourced; checklist missing</x:v>
      </x:c>
      <x:c r="M74" s="24" t="str">
        <x:v>Yes</x:v>
      </x:c>
      <x:c r="N74" s="24" t="str">
        <x:v>Title stat bonus: 5 CHA; 10 DEX. These numbers are title ATTRIBUTES, not skill-point costs. Career-guide progression is based on learned skills.</x:v>
      </x:c>
      <x:c r="O74" s="24" t="str">
        <x:v>https://www.scribd.com/document/501357601/Durango-Wildlands-Mastersheet</x:v>
      </x:c>
    </x:row>
    <x:row r="75" ht="30" customHeight="1">
      <x:c r="A75" s="24" t="str">
        <x:v>DW-T0071</x:v>
      </x:c>
      <x:c r="B75" s="24" t="str">
        <x:v>Career guides</x:v>
      </x:c>
      <x:c r="C75" s="24" t="str">
        <x:v>Settler Fashion: General Sociology</x:v>
      </x:c>
      <x:c r="D75" s="24" t="str">
        <x:v>Tailoring / Settler's Gear</x:v>
      </x:c>
      <x:c r="E75" s="24" t="str">
        <x:v>Career Guide UI</x:v>
      </x:c>
      <x:c r="F75" s="24" t="str">
        <x:v>Complete the matching Career Guide skill-learning checklist; individual requirements mostly unarchived.</x:v>
      </x:c>
      <x:c r="G75" s="24" t="str"/>
      <x:c r="H75" s="26"/>
      <x:c r="I75" s="26"/>
      <x:c r="J75" s="24" t="str">
        <x:v>Unlock title 'Settler Fashion: General Sociology'; Sewing Ability +3</x:v>
      </x:c>
      <x:c r="K75" s="24" t="str">
        <x:v>One-time</x:v>
      </x:c>
      <x:c r="L75" s="24" t="str">
        <x:v>Named &amp; sourced; checklist missing</x:v>
      </x:c>
      <x:c r="M75" s="24" t="str">
        <x:v>Yes</x:v>
      </x:c>
      <x:c r="N75" s="24" t="str">
        <x:v>Title stat bonus: 8 CHA; 15 DEX. These numbers are title ATTRIBUTES, not skill-point costs. Career-guide progression is based on learned skills.</x:v>
      </x:c>
      <x:c r="O75" s="24" t="str">
        <x:v>https://www.scribd.com/document/501357601/Durango-Wildlands-Mastersheet</x:v>
      </x:c>
    </x:row>
    <x:row r="76" ht="30" customHeight="1">
      <x:c r="A76" s="24" t="str">
        <x:v>DW-T0072</x:v>
      </x:c>
      <x:c r="B76" s="24" t="str">
        <x:v>Career guides</x:v>
      </x:c>
      <x:c r="C76" s="24" t="str">
        <x:v>Settler Fashion: Social Dynamics</x:v>
      </x:c>
      <x:c r="D76" s="24" t="str">
        <x:v>Tailoring / Settler's Gear</x:v>
      </x:c>
      <x:c r="E76" s="24" t="str">
        <x:v>Career Guide UI</x:v>
      </x:c>
      <x:c r="F76" s="24" t="str">
        <x:v>Complete the matching Career Guide skill-learning checklist; individual requirements mostly unarchived.</x:v>
      </x:c>
      <x:c r="G76" s="24" t="str"/>
      <x:c r="H76" s="26"/>
      <x:c r="I76" s="26"/>
      <x:c r="J76" s="24" t="str">
        <x:v>Unlock title 'Settler Fashion: Social Dynamics'; Sewing Ability +4</x:v>
      </x:c>
      <x:c r="K76" s="24" t="str">
        <x:v>One-time</x:v>
      </x:c>
      <x:c r="L76" s="24" t="str">
        <x:v>Named &amp; sourced; checklist missing</x:v>
      </x:c>
      <x:c r="M76" s="24" t="str">
        <x:v>Yes</x:v>
      </x:c>
      <x:c r="N76" s="24" t="str">
        <x:v>Title stat bonus: 10 CHA; 20 DEX. These numbers are title ATTRIBUTES, not skill-point costs. Career-guide progression is based on learned skills.</x:v>
      </x:c>
      <x:c r="O76" s="24" t="str">
        <x:v>https://www.scribd.com/document/501357601/Durango-Wildlands-Mastersheet</x:v>
      </x:c>
    </x:row>
    <x:row r="77" ht="30" customHeight="1">
      <x:c r="A77" s="24" t="str">
        <x:v>DW-T0073</x:v>
      </x:c>
      <x:c r="B77" s="24" t="str">
        <x:v>Career guides</x:v>
      </x:c>
      <x:c r="C77" s="24" t="str">
        <x:v>Pioneer Fashion: Clothes and Geography</x:v>
      </x:c>
      <x:c r="D77" s="24" t="str">
        <x:v>Tailoring / Exploration Gear</x:v>
      </x:c>
      <x:c r="E77" s="24" t="str">
        <x:v>Career Guide UI</x:v>
      </x:c>
      <x:c r="F77" s="24" t="str">
        <x:v>Complete the matching Career Guide skill-learning checklist; individual requirements mostly unarchived.</x:v>
      </x:c>
      <x:c r="G77" s="24" t="str"/>
      <x:c r="H77" s="26"/>
      <x:c r="I77" s="26"/>
      <x:c r="J77" s="24" t="str">
        <x:v>Unlock title 'Pioneer Fashion: Clothes and Geography'; Tailoring Ability +3</x:v>
      </x:c>
      <x:c r="K77" s="24" t="str">
        <x:v>One-time</x:v>
      </x:c>
      <x:c r="L77" s="24" t="str">
        <x:v>Named &amp; sourced; checklist missing</x:v>
      </x:c>
      <x:c r="M77" s="24" t="str">
        <x:v>Yes</x:v>
      </x:c>
      <x:c r="N77" s="24" t="str">
        <x:v>Title stat bonus: 23 DEX. These numbers are title ATTRIBUTES, not skill-point costs. Career-guide progression is based on learned skills.</x:v>
      </x:c>
      <x:c r="O77" s="24" t="str">
        <x:v>https://www.scribd.com/document/501357601/Durango-Wildlands-Mastersheet</x:v>
      </x:c>
    </x:row>
    <x:row r="78" ht="30" customHeight="1">
      <x:c r="A78" s="24" t="str">
        <x:v>DW-T0074</x:v>
      </x:c>
      <x:c r="B78" s="24" t="str">
        <x:v>Career guides</x:v>
      </x:c>
      <x:c r="C78" s="24" t="str">
        <x:v>Pioneer Fashion: Clothes and Climate</x:v>
      </x:c>
      <x:c r="D78" s="24" t="str">
        <x:v>Tailoring / Exploration Gear</x:v>
      </x:c>
      <x:c r="E78" s="24" t="str">
        <x:v>Career Guide UI</x:v>
      </x:c>
      <x:c r="F78" s="24" t="str">
        <x:v>Complete the matching Career Guide skill-learning checklist; individual requirements mostly unarchived.</x:v>
      </x:c>
      <x:c r="G78" s="24" t="str"/>
      <x:c r="H78" s="26"/>
      <x:c r="I78" s="26"/>
      <x:c r="J78" s="24" t="str">
        <x:v>Unlock title 'Pioneer Fashion: Clothes and Climate'; Tailoring Ability +4</x:v>
      </x:c>
      <x:c r="K78" s="24" t="str">
        <x:v>One-time</x:v>
      </x:c>
      <x:c r="L78" s="24" t="str">
        <x:v>Named &amp; sourced; checklist missing</x:v>
      </x:c>
      <x:c r="M78" s="24" t="str">
        <x:v>Yes</x:v>
      </x:c>
      <x:c r="N78" s="24" t="str">
        <x:v>Title stat bonus: 30 DEX. These numbers are title ATTRIBUTES, not skill-point costs. Career-guide progression is based on learned skills.</x:v>
      </x:c>
      <x:c r="O78" s="24" t="str">
        <x:v>https://www.scribd.com/document/501357601/Durango-Wildlands-Mastersheet</x:v>
      </x:c>
    </x:row>
    <x:row r="79" ht="30" customHeight="1">
      <x:c r="A79" s="24" t="str">
        <x:v>DW-T0075</x:v>
      </x:c>
      <x:c r="B79" s="24" t="str">
        <x:v>Career guides</x:v>
      </x:c>
      <x:c r="C79" s="24" t="str">
        <x:v>Warrior Fashion: The History of War</x:v>
      </x:c>
      <x:c r="D79" s="24" t="str">
        <x:v>Tailoring / Hunting Gear</x:v>
      </x:c>
      <x:c r="E79" s="24" t="str">
        <x:v>Career Guide UI</x:v>
      </x:c>
      <x:c r="F79" s="24" t="str">
        <x:v>Complete the matching Career Guide skill-learning checklist; individual requirements mostly unarchived.</x:v>
      </x:c>
      <x:c r="G79" s="24" t="str"/>
      <x:c r="H79" s="26"/>
      <x:c r="I79" s="26"/>
      <x:c r="J79" s="24" t="str">
        <x:v>Unlock title 'Warrior Fashion: The History of War'; Handicraft Ability +3</x:v>
      </x:c>
      <x:c r="K79" s="24" t="str">
        <x:v>One-time</x:v>
      </x:c>
      <x:c r="L79" s="24" t="str">
        <x:v>Named &amp; sourced; checklist missing</x:v>
      </x:c>
      <x:c r="M79" s="24" t="str">
        <x:v>Yes</x:v>
      </x:c>
      <x:c r="N79" s="24" t="str">
        <x:v>Title stat bonus: 15 DEX; 8 WIL. These numbers are title ATTRIBUTES, not skill-point costs. Career-guide progression is based on learned skills.</x:v>
      </x:c>
      <x:c r="O79" s="24" t="str">
        <x:v>https://www.scribd.com/document/501357601/Durango-Wildlands-Mastersheet</x:v>
      </x:c>
    </x:row>
    <x:row r="80" ht="30" customHeight="1">
      <x:c r="A80" s="24" t="str">
        <x:v>DW-T0076</x:v>
      </x:c>
      <x:c r="B80" s="24" t="str">
        <x:v>Career guides</x:v>
      </x:c>
      <x:c r="C80" s="24" t="str">
        <x:v>Warrior Fashion: National Security</x:v>
      </x:c>
      <x:c r="D80" s="24" t="str">
        <x:v>Tailoring / Hunting Gear</x:v>
      </x:c>
      <x:c r="E80" s="24" t="str">
        <x:v>Career Guide UI</x:v>
      </x:c>
      <x:c r="F80" s="24" t="str">
        <x:v>Complete the matching Career Guide skill-learning checklist; individual requirements mostly unarchived.</x:v>
      </x:c>
      <x:c r="G80" s="24" t="str"/>
      <x:c r="H80" s="26"/>
      <x:c r="I80" s="26"/>
      <x:c r="J80" s="24" t="str">
        <x:v>Unlock title 'Warrior Fashion: National Security'; Handicraft Ability +4</x:v>
      </x:c>
      <x:c r="K80" s="24" t="str">
        <x:v>One-time</x:v>
      </x:c>
      <x:c r="L80" s="24" t="str">
        <x:v>Named &amp; sourced; checklist missing</x:v>
      </x:c>
      <x:c r="M80" s="24" t="str">
        <x:v>Yes</x:v>
      </x:c>
      <x:c r="N80" s="24" t="str">
        <x:v>Title stat bonus: 20 DEX; 10 WIL. These numbers are title ATTRIBUTES, not skill-point costs. Career-guide progression is based on learned skills.</x:v>
      </x:c>
      <x:c r="O80" s="24" t="str">
        <x:v>https://www.scribd.com/document/501357601/Durango-Wildlands-Mastersheet</x:v>
      </x:c>
    </x:row>
    <x:row r="81" ht="30" customHeight="1">
      <x:c r="A81" s="24" t="str">
        <x:v>DW-T0077</x:v>
      </x:c>
      <x:c r="B81" s="24" t="str">
        <x:v>Career guides</x:v>
      </x:c>
      <x:c r="C81" s="24" t="str">
        <x:v>Nature's Pantry</x:v>
      </x:c>
      <x:c r="D81" s="24" t="str">
        <x:v>Cooking / Basics</x:v>
      </x:c>
      <x:c r="E81" s="24" t="str">
        <x:v>Career Guide UI</x:v>
      </x:c>
      <x:c r="F81" s="24" t="str">
        <x:v>Complete the matching Career Guide skill-learning checklist; individual requirements mostly unarchived.</x:v>
      </x:c>
      <x:c r="G81" s="24" t="str"/>
      <x:c r="H81" s="26"/>
      <x:c r="I81" s="26"/>
      <x:c r="J81" s="24" t="str">
        <x:v>Unlock title 'Nature's Pantry'; Cooking Ability +1</x:v>
      </x:c>
      <x:c r="K81" s="24" t="str">
        <x:v>One-time</x:v>
      </x:c>
      <x:c r="L81" s="24" t="str">
        <x:v>Named &amp; sourced; checklist missing</x:v>
      </x:c>
      <x:c r="M81" s="24" t="str">
        <x:v>Yes</x:v>
      </x:c>
      <x:c r="N81" s="24" t="str">
        <x:v>Title stat bonus: 7 CHA; 3 INT. These numbers are title ATTRIBUTES, not skill-point costs. Career-guide progression is based on learned skills.</x:v>
      </x:c>
      <x:c r="O81" s="24" t="str">
        <x:v>https://www.scribd.com/document/501357601/Durango-Wildlands-Mastersheet</x:v>
      </x:c>
    </x:row>
    <x:row r="82" ht="30" customHeight="1">
      <x:c r="A82" s="24" t="str">
        <x:v>DW-T0078</x:v>
      </x:c>
      <x:c r="B82" s="24" t="str">
        <x:v>Career guides</x:v>
      </x:c>
      <x:c r="C82" s="24" t="str">
        <x:v>Culinary Logistics</x:v>
      </x:c>
      <x:c r="D82" s="24" t="str">
        <x:v>Cooking / Basics</x:v>
      </x:c>
      <x:c r="E82" s="24" t="str">
        <x:v>Career Guide UI</x:v>
      </x:c>
      <x:c r="F82" s="24" t="str">
        <x:v>Complete the matching Career Guide skill-learning checklist; individual requirements mostly unarchived.</x:v>
      </x:c>
      <x:c r="G82" s="24" t="str"/>
      <x:c r="H82" s="26"/>
      <x:c r="I82" s="26"/>
      <x:c r="J82" s="24" t="str">
        <x:v>Unlock title 'Culinary Logistics'; Cooking Ability +2</x:v>
      </x:c>
      <x:c r="K82" s="24" t="str">
        <x:v>One-time</x:v>
      </x:c>
      <x:c r="L82" s="24" t="str">
        <x:v>Named &amp; sourced; checklist missing</x:v>
      </x:c>
      <x:c r="M82" s="24" t="str">
        <x:v>Yes</x:v>
      </x:c>
      <x:c r="N82" s="24" t="str">
        <x:v>Title stat bonus: 10 CHA; 5 INT. These numbers are title ATTRIBUTES, not skill-point costs. Career-guide progression is based on learned skills.</x:v>
      </x:c>
      <x:c r="O82" s="24" t="str">
        <x:v>https://www.scribd.com/document/501357601/Durango-Wildlands-Mastersheet</x:v>
      </x:c>
    </x:row>
    <x:row r="83" ht="30" customHeight="1">
      <x:c r="A83" s="24" t="str">
        <x:v>DW-T0079</x:v>
      </x:c>
      <x:c r="B83" s="24" t="str">
        <x:v>Career guides</x:v>
      </x:c>
      <x:c r="C83" s="24" t="str">
        <x:v>Cuisine Culture</x:v>
      </x:c>
      <x:c r="D83" s="24" t="str">
        <x:v>Cooking / Cooking</x:v>
      </x:c>
      <x:c r="E83" s="24" t="str">
        <x:v>Career Guide UI</x:v>
      </x:c>
      <x:c r="F83" s="24" t="str">
        <x:v>Complete the matching Career Guide skill-learning checklist; individual requirements mostly unarchived.</x:v>
      </x:c>
      <x:c r="G83" s="24" t="str"/>
      <x:c r="H83" s="26"/>
      <x:c r="I83" s="26"/>
      <x:c r="J83" s="24" t="str">
        <x:v>Unlock title 'Cuisine Culture'; Cooking Ability +3</x:v>
      </x:c>
      <x:c r="K83" s="24" t="str">
        <x:v>One-time</x:v>
      </x:c>
      <x:c r="L83" s="24" t="str">
        <x:v>Named &amp; sourced; checklist missing</x:v>
      </x:c>
      <x:c r="M83" s="24" t="str">
        <x:v>Yes</x:v>
      </x:c>
      <x:c r="N83" s="24" t="str">
        <x:v>Title stat bonus: 23 CHA. These numbers are title ATTRIBUTES, not skill-point costs. Career-guide progression is based on learned skills.</x:v>
      </x:c>
      <x:c r="O83" s="24" t="str">
        <x:v>https://www.scribd.com/document/501357601/Durango-Wildlands-Mastersheet</x:v>
      </x:c>
    </x:row>
    <x:row r="84" ht="30" customHeight="1">
      <x:c r="A84" s="24" t="str">
        <x:v>DW-T0080</x:v>
      </x:c>
      <x:c r="B84" s="24" t="str">
        <x:v>Career guides</x:v>
      </x:c>
      <x:c r="C84" s="24" t="str">
        <x:v>Kitchen Management</x:v>
      </x:c>
      <x:c r="D84" s="24" t="str">
        <x:v>Cooking / Cooking</x:v>
      </x:c>
      <x:c r="E84" s="24" t="str">
        <x:v>Career Guide UI</x:v>
      </x:c>
      <x:c r="F84" s="24" t="str">
        <x:v>Complete the matching Career Guide skill-learning checklist; individual requirements mostly unarchived.</x:v>
      </x:c>
      <x:c r="G84" s="24" t="str"/>
      <x:c r="H84" s="26"/>
      <x:c r="I84" s="26"/>
      <x:c r="J84" s="24" t="str">
        <x:v>Unlock title 'Kitchen Management'; Cooking Ability +4</x:v>
      </x:c>
      <x:c r="K84" s="24" t="str">
        <x:v>One-time</x:v>
      </x:c>
      <x:c r="L84" s="24" t="str">
        <x:v>Named &amp; sourced; checklist missing</x:v>
      </x:c>
      <x:c r="M84" s="24" t="str">
        <x:v>Yes</x:v>
      </x:c>
      <x:c r="N84" s="24" t="str">
        <x:v>Title stat bonus: 30 CHA. These numbers are title ATTRIBUTES, not skill-point costs. Career-guide progression is based on learned skills.</x:v>
      </x:c>
      <x:c r="O84" s="24" t="str">
        <x:v>https://www.scribd.com/document/501357601/Durango-Wildlands-Mastersheet</x:v>
      </x:c>
    </x:row>
    <x:row r="85" ht="30" customHeight="1">
      <x:c r="A85" s="24" t="str">
        <x:v>DW-T0081</x:v>
      </x:c>
      <x:c r="B85" s="24" t="str">
        <x:v>Career guides</x:v>
      </x:c>
      <x:c r="C85" s="24" t="str">
        <x:v>Fresh Baked Fundamentals</x:v>
      </x:c>
      <x:c r="D85" s="24" t="str">
        <x:v>Cooking / Baking</x:v>
      </x:c>
      <x:c r="E85" s="24" t="str">
        <x:v>Career Guide UI</x:v>
      </x:c>
      <x:c r="F85" s="24" t="str">
        <x:v>Complete the matching Career Guide skill-learning checklist; individual requirements mostly unarchived.</x:v>
      </x:c>
      <x:c r="G85" s="24" t="str"/>
      <x:c r="H85" s="26"/>
      <x:c r="I85" s="26"/>
      <x:c r="J85" s="24" t="str">
        <x:v>Unlock title 'Fresh Baked Fundamentals'; Cooking Ability +3</x:v>
      </x:c>
      <x:c r="K85" s="24" t="str">
        <x:v>One-time</x:v>
      </x:c>
      <x:c r="L85" s="24" t="str">
        <x:v>Named &amp; sourced; checklist missing</x:v>
      </x:c>
      <x:c r="M85" s="24" t="str">
        <x:v>Yes</x:v>
      </x:c>
      <x:c r="N85" s="24" t="str">
        <x:v>Title stat bonus: 15 CHA; 8 INT. These numbers are title ATTRIBUTES, not skill-point costs. Career-guide progression is based on learned skills.</x:v>
      </x:c>
      <x:c r="O85" s="24" t="str">
        <x:v>https://www.scribd.com/document/501357601/Durango-Wildlands-Mastersheet</x:v>
      </x:c>
    </x:row>
    <x:row r="86" ht="30" customHeight="1">
      <x:c r="A86" s="24" t="str">
        <x:v>DW-T0082</x:v>
      </x:c>
      <x:c r="B86" s="24" t="str">
        <x:v>Career guides</x:v>
      </x:c>
      <x:c r="C86" s="24" t="str">
        <x:v>Fresh Baked Bliss</x:v>
      </x:c>
      <x:c r="D86" s="24" t="str">
        <x:v>Cooking / Baking</x:v>
      </x:c>
      <x:c r="E86" s="24" t="str">
        <x:v>Career Guide UI</x:v>
      </x:c>
      <x:c r="F86" s="24" t="str">
        <x:v>Complete the matching Career Guide skill-learning checklist; individual requirements mostly unarchived.</x:v>
      </x:c>
      <x:c r="G86" s="24" t="str"/>
      <x:c r="H86" s="26"/>
      <x:c r="I86" s="26"/>
      <x:c r="J86" s="24" t="str">
        <x:v>Unlock title 'Fresh Baked Bliss'; Cooking Ability +4</x:v>
      </x:c>
      <x:c r="K86" s="24" t="str">
        <x:v>One-time</x:v>
      </x:c>
      <x:c r="L86" s="24" t="str">
        <x:v>Named &amp; sourced; checklist missing</x:v>
      </x:c>
      <x:c r="M86" s="24" t="str">
        <x:v>Yes</x:v>
      </x:c>
      <x:c r="N86" s="24" t="str">
        <x:v>Title stat bonus: 20 CHA; 10 INT. These numbers are title ATTRIBUTES, not skill-point costs. Career-guide progression is based on learned skills.</x:v>
      </x:c>
      <x:c r="O86" s="24" t="str">
        <x:v>https://www.scribd.com/document/501357601/Durango-Wildlands-Mastersheet</x:v>
      </x:c>
    </x:row>
    <x:row r="87" ht="30" customHeight="1">
      <x:c r="A87" s="24" t="str">
        <x:v>DW-T0083</x:v>
      </x:c>
      <x:c r="B87" s="24" t="str">
        <x:v>Career guides</x:v>
      </x:c>
      <x:c r="C87" s="24" t="str">
        <x:v>Fun with Pharmaceuticals</x:v>
      </x:c>
      <x:c r="D87" s="24" t="str">
        <x:v>Cooking / Medicine</x:v>
      </x:c>
      <x:c r="E87" s="24" t="str">
        <x:v>Career Guide UI</x:v>
      </x:c>
      <x:c r="F87" s="24" t="str">
        <x:v>Complete the matching Career Guide skill-learning checklist; individual requirements mostly unarchived.</x:v>
      </x:c>
      <x:c r="G87" s="24" t="str"/>
      <x:c r="H87" s="26"/>
      <x:c r="I87" s="26"/>
      <x:c r="J87" s="24" t="str">
        <x:v>Unlock title 'Fun with Pharmaceuticals'; Max Energy +20</x:v>
      </x:c>
      <x:c r="K87" s="24" t="str">
        <x:v>One-time</x:v>
      </x:c>
      <x:c r="L87" s="24" t="str">
        <x:v>Named &amp; sourced; checklist missing</x:v>
      </x:c>
      <x:c r="M87" s="24" t="str">
        <x:v>Yes</x:v>
      </x:c>
      <x:c r="N87" s="24" t="str">
        <x:v>Title stat bonus: 8 DEX; 15 INT. These numbers are title ATTRIBUTES, not skill-point costs. Career-guide progression is based on learned skills.</x:v>
      </x:c>
      <x:c r="O87" s="24" t="str">
        <x:v>https://www.scribd.com/document/501357601/Durango-Wildlands-Mastersheet</x:v>
      </x:c>
    </x:row>
    <x:row r="88" ht="30" customHeight="1">
      <x:c r="A88" s="24" t="str">
        <x:v>DW-T0084</x:v>
      </x:c>
      <x:c r="B88" s="24" t="str">
        <x:v>Career guides</x:v>
      </x:c>
      <x:c r="C88" s="24" t="str">
        <x:v>Herbal Remedies</x:v>
      </x:c>
      <x:c r="D88" s="24" t="str">
        <x:v>Cooking / Medicine</x:v>
      </x:c>
      <x:c r="E88" s="24" t="str">
        <x:v>Career Guide UI</x:v>
      </x:c>
      <x:c r="F88" s="24" t="str">
        <x:v>Complete the matching Career Guide skill-learning checklist; individual requirements mostly unarchived.</x:v>
      </x:c>
      <x:c r="G88" s="24" t="str"/>
      <x:c r="H88" s="26"/>
      <x:c r="I88" s="26"/>
      <x:c r="J88" s="24" t="str">
        <x:v>Unlock title 'Herbal Remedies'; Max Energy +30</x:v>
      </x:c>
      <x:c r="K88" s="24" t="str">
        <x:v>One-time</x:v>
      </x:c>
      <x:c r="L88" s="24" t="str">
        <x:v>Named &amp; sourced; checklist missing</x:v>
      </x:c>
      <x:c r="M88" s="24" t="str">
        <x:v>Yes</x:v>
      </x:c>
      <x:c r="N88" s="24" t="str">
        <x:v>Title stat bonus: 10 DEX; 20 INT. These numbers are title ATTRIBUTES, not skill-point costs. Career-guide progression is based on learned skills.</x:v>
      </x:c>
      <x:c r="O88" s="24" t="str">
        <x:v>https://www.scribd.com/document/501357601/Durango-Wildlands-Mastersheet</x:v>
      </x:c>
    </x:row>
    <x:row r="89" ht="30" customHeight="1">
      <x:c r="A89" s="24" t="str">
        <x:v>DW-T0085</x:v>
      </x:c>
      <x:c r="B89" s="24" t="str">
        <x:v>Career guides</x:v>
      </x:c>
      <x:c r="C89" s="24" t="str">
        <x:v>Natural Architecture</x:v>
      </x:c>
      <x:c r="D89" s="24" t="str">
        <x:v>Living Quarters / Basics</x:v>
      </x:c>
      <x:c r="E89" s="24" t="str">
        <x:v>Career Guide UI</x:v>
      </x:c>
      <x:c r="F89" s="24" t="str">
        <x:v>Complete the matching Career Guide skill-learning checklist; individual requirements mostly unarchived.</x:v>
      </x:c>
      <x:c r="G89" s="24" t="str"/>
      <x:c r="H89" s="26"/>
      <x:c r="I89" s="26"/>
      <x:c r="J89" s="24" t="str">
        <x:v>Unlock title 'Natural Architecture'; Furniture Crafting Ability +1</x:v>
      </x:c>
      <x:c r="K89" s="24" t="str">
        <x:v>One-time</x:v>
      </x:c>
      <x:c r="L89" s="24" t="str">
        <x:v>Named &amp; sourced; checklist missing</x:v>
      </x:c>
      <x:c r="M89" s="24" t="str">
        <x:v>Yes</x:v>
      </x:c>
      <x:c r="N89" s="24" t="str">
        <x:v>Title stat bonus: 7 END; 3 INT. These numbers are title ATTRIBUTES, not skill-point costs. Career-guide progression is based on learned skills.</x:v>
      </x:c>
      <x:c r="O89" s="24" t="str">
        <x:v>https://www.scribd.com/document/501357601/Durango-Wildlands-Mastersheet</x:v>
      </x:c>
    </x:row>
    <x:row r="90" ht="30" customHeight="1">
      <x:c r="A90" s="24" t="str">
        <x:v>DW-T0086</x:v>
      </x:c>
      <x:c r="B90" s="24" t="str">
        <x:v>Career guides</x:v>
      </x:c>
      <x:c r="C90" s="24" t="str">
        <x:v>Architecture 101</x:v>
      </x:c>
      <x:c r="D90" s="24" t="str">
        <x:v>Living Quarters / Basics</x:v>
      </x:c>
      <x:c r="E90" s="24" t="str">
        <x:v>Career Guide UI</x:v>
      </x:c>
      <x:c r="F90" s="24" t="str">
        <x:v>Complete the matching Career Guide skill-learning checklist; individual requirements mostly unarchived.</x:v>
      </x:c>
      <x:c r="G90" s="24" t="str"/>
      <x:c r="H90" s="26"/>
      <x:c r="I90" s="26"/>
      <x:c r="J90" s="24" t="str">
        <x:v>Unlock title 'Architecture 101'; Furniture Crafting Ability +2</x:v>
      </x:c>
      <x:c r="K90" s="24" t="str">
        <x:v>One-time</x:v>
      </x:c>
      <x:c r="L90" s="24" t="str">
        <x:v>Named &amp; sourced; checklist missing</x:v>
      </x:c>
      <x:c r="M90" s="24" t="str">
        <x:v>Yes</x:v>
      </x:c>
      <x:c r="N90" s="24" t="str">
        <x:v>Title stat bonus: 10 END; 5 INT. These numbers are title ATTRIBUTES, not skill-point costs. Career-guide progression is based on learned skills.</x:v>
      </x:c>
      <x:c r="O90" s="24" t="str">
        <x:v>https://www.scribd.com/document/501357601/Durango-Wildlands-Mastersheet</x:v>
      </x:c>
    </x:row>
    <x:row r="91" ht="30" customHeight="1">
      <x:c r="A91" s="24" t="str">
        <x:v>DW-T0087</x:v>
      </x:c>
      <x:c r="B91" s="24" t="str">
        <x:v>Career guides</x:v>
      </x:c>
      <x:c r="C91" s="24" t="str">
        <x:v>Fabricating Furniture</x:v>
      </x:c>
      <x:c r="D91" s="24" t="str">
        <x:v>Living Quarters / Furniture Crafting</x:v>
      </x:c>
      <x:c r="E91" s="24" t="str">
        <x:v>Career Guide UI</x:v>
      </x:c>
      <x:c r="F91" s="24" t="str">
        <x:v>Complete the matching Career Guide skill-learning checklist; individual requirements mostly unarchived.</x:v>
      </x:c>
      <x:c r="G91" s="24" t="str"/>
      <x:c r="H91" s="26"/>
      <x:c r="I91" s="26"/>
      <x:c r="J91" s="24" t="str">
        <x:v>Unlock title 'Fabricating Furniture'; Furniture Crafting Ability +3</x:v>
      </x:c>
      <x:c r="K91" s="24" t="str">
        <x:v>One-time</x:v>
      </x:c>
      <x:c r="L91" s="24" t="str">
        <x:v>Named &amp; sourced; checklist missing</x:v>
      </x:c>
      <x:c r="M91" s="24" t="str">
        <x:v>Yes</x:v>
      </x:c>
      <x:c r="N91" s="24" t="str">
        <x:v>Title stat bonus: 23 INT. These numbers are title ATTRIBUTES, not skill-point costs. Career-guide progression is based on learned skills.</x:v>
      </x:c>
      <x:c r="O91" s="24" t="str">
        <x:v>https://www.scribd.com/document/501357601/Durango-Wildlands-Mastersheet</x:v>
      </x:c>
    </x:row>
    <x:row r="92" ht="30" customHeight="1">
      <x:c r="A92" s="24" t="str">
        <x:v>DW-T0088</x:v>
      </x:c>
      <x:c r="B92" s="24" t="str">
        <x:v>Career guides</x:v>
      </x:c>
      <x:c r="C92" s="24" t="str">
        <x:v>Furniture Design</x:v>
      </x:c>
      <x:c r="D92" s="24" t="str">
        <x:v>Living Quarters / Furniture Crafting</x:v>
      </x:c>
      <x:c r="E92" s="24" t="str">
        <x:v>Career Guide UI</x:v>
      </x:c>
      <x:c r="F92" s="24" t="str">
        <x:v>Complete the matching Career Guide skill-learning checklist; individual requirements mostly unarchived.</x:v>
      </x:c>
      <x:c r="G92" s="24" t="str"/>
      <x:c r="H92" s="26"/>
      <x:c r="I92" s="26"/>
      <x:c r="J92" s="24" t="str">
        <x:v>Unlock title 'Furniture Design'; Furniture Crafting Ability +4</x:v>
      </x:c>
      <x:c r="K92" s="24" t="str">
        <x:v>One-time</x:v>
      </x:c>
      <x:c r="L92" s="24" t="str">
        <x:v>Named &amp; sourced; checklist missing</x:v>
      </x:c>
      <x:c r="M92" s="24" t="str">
        <x:v>Yes</x:v>
      </x:c>
      <x:c r="N92" s="24" t="str">
        <x:v>Title stat bonus: 30 INT. These numbers are title ATTRIBUTES, not skill-point costs. Career-guide progression is based on learned skills.</x:v>
      </x:c>
      <x:c r="O92" s="24" t="str">
        <x:v>https://www.scribd.com/document/501357601/Durango-Wildlands-Mastersheet</x:v>
      </x:c>
    </x:row>
    <x:row r="93" ht="30" customHeight="1">
      <x:c r="A93" s="24" t="str">
        <x:v>DW-T0089</x:v>
      </x:c>
      <x:c r="B93" s="24" t="str">
        <x:v>Career guides</x:v>
      </x:c>
      <x:c r="C93" s="24" t="str">
        <x:v>Municipal Regulations</x:v>
      </x:c>
      <x:c r="D93" s="24" t="str">
        <x:v>Living Quarters / Infrastructure</x:v>
      </x:c>
      <x:c r="E93" s="24" t="str">
        <x:v>Career Guide UI</x:v>
      </x:c>
      <x:c r="F93" s="24" t="str">
        <x:v>Complete the matching Career Guide skill-learning checklist; individual requirements mostly unarchived.</x:v>
      </x:c>
      <x:c r="G93" s="24" t="str"/>
      <x:c r="H93" s="26"/>
      <x:c r="I93" s="26"/>
      <x:c r="J93" s="24" t="str">
        <x:v>Unlock title 'Municipal Regulations'; Building Ability +3</x:v>
      </x:c>
      <x:c r="K93" s="24" t="str">
        <x:v>One-time</x:v>
      </x:c>
      <x:c r="L93" s="24" t="str">
        <x:v>Named &amp; sourced; checklist missing</x:v>
      </x:c>
      <x:c r="M93" s="24" t="str">
        <x:v>Yes</x:v>
      </x:c>
      <x:c r="N93" s="24" t="str">
        <x:v>Title stat bonus: 8 END; 15 INT. These numbers are title ATTRIBUTES, not skill-point costs. Career-guide progression is based on learned skills.</x:v>
      </x:c>
      <x:c r="O93" s="24" t="str">
        <x:v>https://www.scribd.com/document/501357601/Durango-Wildlands-Mastersheet</x:v>
      </x:c>
    </x:row>
    <x:row r="94" ht="30" customHeight="1">
      <x:c r="A94" s="24" t="str">
        <x:v>DW-T0090</x:v>
      </x:c>
      <x:c r="B94" s="24" t="str">
        <x:v>Career guides</x:v>
      </x:c>
      <x:c r="C94" s="24" t="str">
        <x:v>Cultural Urban Architecture</x:v>
      </x:c>
      <x:c r="D94" s="24" t="str">
        <x:v>Living Quarters / Infrastructure</x:v>
      </x:c>
      <x:c r="E94" s="24" t="str">
        <x:v>Career Guide UI</x:v>
      </x:c>
      <x:c r="F94" s="24" t="str">
        <x:v>Complete the matching Career Guide skill-learning checklist; individual requirements mostly unarchived.</x:v>
      </x:c>
      <x:c r="G94" s="24" t="str"/>
      <x:c r="H94" s="26"/>
      <x:c r="I94" s="26"/>
      <x:c r="J94" s="24" t="str">
        <x:v>Unlock title 'Cultural Urban Architecture'; Building Ability +4</x:v>
      </x:c>
      <x:c r="K94" s="24" t="str">
        <x:v>One-time</x:v>
      </x:c>
      <x:c r="L94" s="24" t="str">
        <x:v>Named &amp; sourced; checklist missing</x:v>
      </x:c>
      <x:c r="M94" s="24" t="str">
        <x:v>Yes</x:v>
      </x:c>
      <x:c r="N94" s="24" t="str">
        <x:v>Title stat bonus: 10 END; 20 INT. These numbers are title ATTRIBUTES, not skill-point costs. Career-guide progression is based on learned skills.</x:v>
      </x:c>
      <x:c r="O94" s="24" t="str">
        <x:v>https://www.scribd.com/document/501357601/Durango-Wildlands-Mastersheet</x:v>
      </x:c>
    </x:row>
    <x:row r="95" ht="30" customHeight="1">
      <x:c r="A95" s="24" t="str">
        <x:v>DW-T0091</x:v>
      </x:c>
      <x:c r="B95" s="24" t="str">
        <x:v>Career guides</x:v>
      </x:c>
      <x:c r="C95" s="24" t="str">
        <x:v>The Principles of Horticulture</x:v>
      </x:c>
      <x:c r="D95" s="24" t="str">
        <x:v>Gathering / Basics</x:v>
      </x:c>
      <x:c r="E95" s="24" t="str">
        <x:v>Career Guide UI</x:v>
      </x:c>
      <x:c r="F95" s="24" t="str">
        <x:v>Complete the matching Career Guide skill-learning checklist; individual requirements mostly unarchived.</x:v>
      </x:c>
      <x:c r="G95" s="24" t="str"/>
      <x:c r="H95" s="26"/>
      <x:c r="I95" s="26"/>
      <x:c r="J95" s="24" t="str">
        <x:v>Unlock title 'The Principles of Horticulture'; Plant Gathering Ability +1</x:v>
      </x:c>
      <x:c r="K95" s="24" t="str">
        <x:v>One-time</x:v>
      </x:c>
      <x:c r="L95" s="24" t="str">
        <x:v>Named &amp; sourced; checklist missing</x:v>
      </x:c>
      <x:c r="M95" s="24" t="str">
        <x:v>Yes</x:v>
      </x:c>
      <x:c r="N95" s="24" t="str">
        <x:v>Title stat bonus: 3 DEX; 7 PER. These numbers are title ATTRIBUTES, not skill-point costs. Career-guide progression is based on learned skills.</x:v>
      </x:c>
      <x:c r="O95" s="24" t="str">
        <x:v>https://www.scribd.com/document/501357601/Durango-Wildlands-Mastersheet</x:v>
      </x:c>
    </x:row>
    <x:row r="96" ht="30" customHeight="1">
      <x:c r="A96" s="24" t="str">
        <x:v>DW-T0092</x:v>
      </x:c>
      <x:c r="B96" s="24" t="str">
        <x:v>Career guides</x:v>
      </x:c>
      <x:c r="C96" s="24" t="str">
        <x:v>Horticulture and Biology</x:v>
      </x:c>
      <x:c r="D96" s="24" t="str">
        <x:v>Gathering / Basics</x:v>
      </x:c>
      <x:c r="E96" s="24" t="str">
        <x:v>Career Guide UI</x:v>
      </x:c>
      <x:c r="F96" s="24" t="str">
        <x:v>Complete the matching Career Guide skill-learning checklist; individual requirements mostly unarchived.</x:v>
      </x:c>
      <x:c r="G96" s="24" t="str"/>
      <x:c r="H96" s="26"/>
      <x:c r="I96" s="26"/>
      <x:c r="J96" s="24" t="str">
        <x:v>Unlock title 'Horticulture and Biology'; Plant Gathering Ability +2</x:v>
      </x:c>
      <x:c r="K96" s="24" t="str">
        <x:v>One-time</x:v>
      </x:c>
      <x:c r="L96" s="24" t="str">
        <x:v>Named &amp; sourced; checklist missing</x:v>
      </x:c>
      <x:c r="M96" s="24" t="str">
        <x:v>Yes</x:v>
      </x:c>
      <x:c r="N96" s="24" t="str">
        <x:v>Title stat bonus: 5 DEX; 10 PER. These numbers are title ATTRIBUTES, not skill-point costs. Career-guide progression is based on learned skills.</x:v>
      </x:c>
      <x:c r="O96" s="24" t="str">
        <x:v>https://www.scribd.com/document/501357601/Durango-Wildlands-Mastersheet</x:v>
      </x:c>
    </x:row>
    <x:row r="97" ht="30" customHeight="1">
      <x:c r="A97" s="24" t="str">
        <x:v>DW-T0093</x:v>
      </x:c>
      <x:c r="B97" s="24" t="str">
        <x:v>Career guides</x:v>
      </x:c>
      <x:c r="C97" s="24" t="str">
        <x:v>Applied Botany</x:v>
      </x:c>
      <x:c r="D97" s="24" t="str">
        <x:v>Gathering / Plants</x:v>
      </x:c>
      <x:c r="E97" s="24" t="str">
        <x:v>Career Guide UI</x:v>
      </x:c>
      <x:c r="F97" s="24" t="str">
        <x:v>Complete the matching Career Guide skill-learning checklist; individual requirements mostly unarchived.</x:v>
      </x:c>
      <x:c r="G97" s="24" t="str"/>
      <x:c r="H97" s="26"/>
      <x:c r="I97" s="26"/>
      <x:c r="J97" s="24" t="str">
        <x:v>Unlock title 'Applied Botany'; Plant Gathering Ability +3</x:v>
      </x:c>
      <x:c r="K97" s="24" t="str">
        <x:v>One-time</x:v>
      </x:c>
      <x:c r="L97" s="24" t="str">
        <x:v>Named &amp; sourced; checklist missing</x:v>
      </x:c>
      <x:c r="M97" s="24" t="str">
        <x:v>Yes</x:v>
      </x:c>
      <x:c r="N97" s="24" t="str">
        <x:v>Title stat bonus: 23 PER. These numbers are title ATTRIBUTES, not skill-point costs. Career-guide progression is based on learned skills.</x:v>
      </x:c>
      <x:c r="O97" s="24" t="str">
        <x:v>https://www.scribd.com/document/501357601/Durango-Wildlands-Mastersheet</x:v>
      </x:c>
    </x:row>
    <x:row r="98" ht="30" customHeight="1">
      <x:c r="A98" s="24" t="str">
        <x:v>DW-T0094</x:v>
      </x:c>
      <x:c r="B98" s="24" t="str">
        <x:v>Career guides</x:v>
      </x:c>
      <x:c r="C98" s="24" t="str">
        <x:v>Forest Ecology</x:v>
      </x:c>
      <x:c r="D98" s="24" t="str">
        <x:v>Gathering / Plants</x:v>
      </x:c>
      <x:c r="E98" s="24" t="str">
        <x:v>Career Guide UI</x:v>
      </x:c>
      <x:c r="F98" s="24" t="str">
        <x:v>Complete the matching Career Guide skill-learning checklist; individual requirements mostly unarchived.</x:v>
      </x:c>
      <x:c r="G98" s="24" t="str"/>
      <x:c r="H98" s="26"/>
      <x:c r="I98" s="26"/>
      <x:c r="J98" s="24" t="str">
        <x:v>Unlock title 'Forest Ecology'; Plant Gathering Ability +4</x:v>
      </x:c>
      <x:c r="K98" s="24" t="str">
        <x:v>One-time</x:v>
      </x:c>
      <x:c r="L98" s="24" t="str">
        <x:v>Named &amp; sourced; checklist missing</x:v>
      </x:c>
      <x:c r="M98" s="24" t="str">
        <x:v>Yes</x:v>
      </x:c>
      <x:c r="N98" s="24" t="str">
        <x:v>Title stat bonus: 30 PER. These numbers are title ATTRIBUTES, not skill-point costs. Career-guide progression is based on learned skills.</x:v>
      </x:c>
      <x:c r="O98" s="24" t="str">
        <x:v>https://www.scribd.com/document/501357601/Durango-Wildlands-Mastersheet</x:v>
      </x:c>
    </x:row>
    <x:row r="99" ht="30" customHeight="1">
      <x:c r="A99" s="24" t="str">
        <x:v>DW-T0095</x:v>
      </x:c>
      <x:c r="B99" s="24" t="str">
        <x:v>Career guides</x:v>
      </x:c>
      <x:c r="C99" s="24" t="str">
        <x:v>Mineralogy and Geochemistry</x:v>
      </x:c>
      <x:c r="D99" s="24" t="str">
        <x:v>Gathering / Minerals</x:v>
      </x:c>
      <x:c r="E99" s="24" t="str">
        <x:v>Career Guide UI</x:v>
      </x:c>
      <x:c r="F99" s="24" t="str">
        <x:v>Complete the matching Career Guide skill-learning checklist; individual requirements mostly unarchived.</x:v>
      </x:c>
      <x:c r="G99" s="24" t="str"/>
      <x:c r="H99" s="26"/>
      <x:c r="I99" s="26"/>
      <x:c r="J99" s="24" t="str">
        <x:v>Unlock title 'Mineralogy and Geochemistry'; Mining Ability +3</x:v>
      </x:c>
      <x:c r="K99" s="24" t="str">
        <x:v>One-time</x:v>
      </x:c>
      <x:c r="L99" s="24" t="str">
        <x:v>Named &amp; sourced; checklist missing</x:v>
      </x:c>
      <x:c r="M99" s="24" t="str">
        <x:v>Yes</x:v>
      </x:c>
      <x:c r="N99" s="24" t="str">
        <x:v>Title stat bonus: 8 DEX; 15 PER. These numbers are title ATTRIBUTES, not skill-point costs. Career-guide progression is based on learned skills.</x:v>
      </x:c>
      <x:c r="O99" s="24" t="str">
        <x:v>https://www.scribd.com/document/501357601/Durango-Wildlands-Mastersheet</x:v>
      </x:c>
    </x:row>
    <x:row r="100" ht="30" customHeight="1">
      <x:c r="A100" s="24" t="str">
        <x:v>DW-T0096</x:v>
      </x:c>
      <x:c r="B100" s="24" t="str">
        <x:v>Career guides</x:v>
      </x:c>
      <x:c r="C100" s="24" t="str">
        <x:v>Foreign Mineralogy</x:v>
      </x:c>
      <x:c r="D100" s="24" t="str">
        <x:v>Gathering / Minerals</x:v>
      </x:c>
      <x:c r="E100" s="24" t="str">
        <x:v>Career Guide UI</x:v>
      </x:c>
      <x:c r="F100" s="24" t="str">
        <x:v>Complete the matching Career Guide skill-learning checklist; individual requirements mostly unarchived.</x:v>
      </x:c>
      <x:c r="G100" s="24" t="str"/>
      <x:c r="H100" s="26"/>
      <x:c r="I100" s="26"/>
      <x:c r="J100" s="24" t="str">
        <x:v>Unlock title 'Foreign Mineralogy'; Mining Ability +4</x:v>
      </x:c>
      <x:c r="K100" s="24" t="str">
        <x:v>One-time</x:v>
      </x:c>
      <x:c r="L100" s="24" t="str">
        <x:v>Named &amp; sourced; checklist missing</x:v>
      </x:c>
      <x:c r="M100" s="24" t="str">
        <x:v>Yes</x:v>
      </x:c>
      <x:c r="N100" s="24" t="str">
        <x:v>Title stat bonus: 10 DEX; 20 PER. These numbers are title ATTRIBUTES, not skill-point costs. Career-guide progression is based on learned skills.</x:v>
      </x:c>
      <x:c r="O100" s="24" t="str">
        <x:v>https://www.scribd.com/document/501357601/Durango-Wildlands-Mastersheet</x:v>
      </x:c>
    </x:row>
    <x:row r="101" ht="30" customHeight="1">
      <x:c r="A101" s="24" t="str">
        <x:v>DW-T0097</x:v>
      </x:c>
      <x:c r="B101" s="24" t="str">
        <x:v>Career guides</x:v>
      </x:c>
      <x:c r="C101" s="24" t="str">
        <x:v>Farming Fundamentals</x:v>
      </x:c>
      <x:c r="D101" s="24" t="str">
        <x:v>Farming / Farming</x:v>
      </x:c>
      <x:c r="E101" s="24" t="str">
        <x:v>Career Guide UI</x:v>
      </x:c>
      <x:c r="F101" s="24" t="str">
        <x:v>Complete the matching Career Guide skill-learning checklist; individual requirements mostly unarchived.</x:v>
      </x:c>
      <x:c r="G101" s="24" t="str"/>
      <x:c r="H101" s="26"/>
      <x:c r="I101" s="26"/>
      <x:c r="J101" s="24" t="str">
        <x:v>Unlock title 'Farming Fundamentals'; Farming Ability +1</x:v>
      </x:c>
      <x:c r="K101" s="24" t="str">
        <x:v>One-time</x:v>
      </x:c>
      <x:c r="L101" s="24" t="str">
        <x:v>Named &amp; sourced; checklist missing</x:v>
      </x:c>
      <x:c r="M101" s="24" t="str">
        <x:v>Yes</x:v>
      </x:c>
      <x:c r="N101" s="24" t="str">
        <x:v>Title stat bonus: 10 WIL. These numbers are title ATTRIBUTES, not skill-point costs. Career-guide progression is based on learned skills.</x:v>
      </x:c>
      <x:c r="O101" s="24" t="str">
        <x:v>https://www.scribd.com/document/501357601/Durango-Wildlands-Mastersheet</x:v>
      </x:c>
    </x:row>
    <x:row r="102" ht="30" customHeight="1">
      <x:c r="A102" s="24" t="str">
        <x:v>DW-T0098</x:v>
      </x:c>
      <x:c r="B102" s="24" t="str">
        <x:v>Career guides</x:v>
      </x:c>
      <x:c r="C102" s="24" t="str">
        <x:v>From Seed to Stalk</x:v>
      </x:c>
      <x:c r="D102" s="24" t="str">
        <x:v>Farming / Farming</x:v>
      </x:c>
      <x:c r="E102" s="24" t="str">
        <x:v>Career Guide UI</x:v>
      </x:c>
      <x:c r="F102" s="24" t="str">
        <x:v>Complete the matching Career Guide skill-learning checklist; individual requirements mostly unarchived.</x:v>
      </x:c>
      <x:c r="G102" s="24" t="str"/>
      <x:c r="H102" s="26"/>
      <x:c r="I102" s="26"/>
      <x:c r="J102" s="24" t="str">
        <x:v>Unlock title 'From Seed to Stalk'; Farming Ability +2</x:v>
      </x:c>
      <x:c r="K102" s="24" t="str">
        <x:v>One-time</x:v>
      </x:c>
      <x:c r="L102" s="24" t="str">
        <x:v>Named &amp; sourced; checklist missing</x:v>
      </x:c>
      <x:c r="M102" s="24" t="str">
        <x:v>Yes</x:v>
      </x:c>
      <x:c r="N102" s="24" t="str">
        <x:v>Title stat bonus: 15 WIL. These numbers are title ATTRIBUTES, not skill-point costs. Career-guide progression is based on learned skills.</x:v>
      </x:c>
      <x:c r="O102" s="24" t="str">
        <x:v>https://www.scribd.com/document/501357601/Durango-Wildlands-Mastersheet</x:v>
      </x:c>
    </x:row>
    <x:row r="103" ht="30" customHeight="1">
      <x:c r="A103" s="24" t="str">
        <x:v>DW-T0099</x:v>
      </x:c>
      <x:c r="B103" s="24" t="str">
        <x:v>Career guides</x:v>
      </x:c>
      <x:c r="C103" s="24" t="str">
        <x:v>Agroforestry</x:v>
      </x:c>
      <x:c r="D103" s="24" t="str">
        <x:v>Farming / Farming</x:v>
      </x:c>
      <x:c r="E103" s="24" t="str">
        <x:v>Career Guide UI</x:v>
      </x:c>
      <x:c r="F103" s="24" t="str">
        <x:v>Complete the matching Career Guide skill-learning checklist; individual requirements mostly unarchived.</x:v>
      </x:c>
      <x:c r="G103" s="24" t="str"/>
      <x:c r="H103" s="26"/>
      <x:c r="I103" s="26"/>
      <x:c r="J103" s="24" t="str">
        <x:v>Unlock title 'Agroforestry'; Farming Ability +3</x:v>
      </x:c>
      <x:c r="K103" s="24" t="str">
        <x:v>One-time</x:v>
      </x:c>
      <x:c r="L103" s="24" t="str">
        <x:v>Named &amp; sourced; checklist missing</x:v>
      </x:c>
      <x:c r="M103" s="24" t="str">
        <x:v>Yes</x:v>
      </x:c>
      <x:c r="N103" s="24" t="str">
        <x:v>Title stat bonus: 23 WIL. These numbers are title ATTRIBUTES, not skill-point costs. Career-guide progression is based on learned skills.</x:v>
      </x:c>
      <x:c r="O103" s="24" t="str">
        <x:v>https://www.scribd.com/document/501357601/Durango-Wildlands-Mastersheet</x:v>
      </x:c>
    </x:row>
    <x:row r="104" ht="30" customHeight="1">
      <x:c r="A104" s="24" t="str">
        <x:v>DW-T0100</x:v>
      </x:c>
      <x:c r="B104" s="24" t="str">
        <x:v>Career guides</x:v>
      </x:c>
      <x:c r="C104" s="24" t="str">
        <x:v>Harvesting the Helix</x:v>
      </x:c>
      <x:c r="D104" s="24" t="str">
        <x:v>Farming / Farming</x:v>
      </x:c>
      <x:c r="E104" s="24" t="str">
        <x:v>Career Guide UI</x:v>
      </x:c>
      <x:c r="F104" s="24" t="str">
        <x:v>Complete the matching Career Guide skill-learning checklist; individual requirements mostly unarchived.</x:v>
      </x:c>
      <x:c r="G104" s="24" t="str"/>
      <x:c r="H104" s="26"/>
      <x:c r="I104" s="26"/>
      <x:c r="J104" s="24" t="str">
        <x:v>Unlock title 'Harvesting the Helix'; Farming Ability +4</x:v>
      </x:c>
      <x:c r="K104" s="24" t="str">
        <x:v>One-time</x:v>
      </x:c>
      <x:c r="L104" s="24" t="str">
        <x:v>Named &amp; sourced; checklist missing</x:v>
      </x:c>
      <x:c r="M104" s="24" t="str">
        <x:v>Yes</x:v>
      </x:c>
      <x:c r="N104" s="24" t="str">
        <x:v>Title stat bonus: 30 WIL. These numbers are title ATTRIBUTES, not skill-point costs. Career-guide progression is based on learned skills.</x:v>
      </x:c>
      <x:c r="O104" s="24" t="str">
        <x:v>https://www.scribd.com/document/501357601/Durango-Wildlands-Mastersheet</x:v>
      </x:c>
    </x:row>
    <x:row r="105" ht="30" customHeight="1">
      <x:c r="A105" s="24" t="str">
        <x:v>DW-T0101</x:v>
      </x:c>
      <x:c r="B105" s="24" t="str">
        <x:v>Google Play achievements</x:v>
      </x:c>
      <x:c r="C105" s="24" t="str">
        <x:v>오비</x:v>
      </x:c>
      <x:c r="D105" s="24" t="str">
        <x:v>Google Play Games</x:v>
      </x:c>
      <x:c r="E105" s="24" t="str">
        <x:v>Android achievement</x:v>
      </x:c>
      <x:c r="F105" s="24" t="str">
        <x:v>Oviraptor achievement (exact conditions not recovered)</x:v>
      </x:c>
      <x:c r="G105" s="24" t="str"/>
      <x:c r="H105" s="26"/>
      <x:c r="I105" s="26"/>
      <x:c r="J105" s="24" t="str">
        <x:v>500 Google Play achievement XP (not in-game SP or currency)</x:v>
      </x:c>
      <x:c r="K105" s="24" t="str">
        <x:v>One-time</x:v>
      </x:c>
      <x:c r="L105" s="24" t="str">
        <x:v>Title sourced; objective missing</x:v>
      </x:c>
      <x:c r="M105" s="24" t="str">
        <x:v>Yes</x:v>
      </x:c>
      <x:c r="N105" s="24" t="str">
        <x:v>External Google Play achievements, not the full in-game Tasks achievement list.</x:v>
      </x:c>
      <x:c r="O105" s="24" t="str">
        <x:v>https://www.exophase.com/game/durango-wild-lands-android/achievements/</x:v>
      </x:c>
    </x:row>
    <x:row r="106" ht="30" customHeight="1">
      <x:c r="A106" s="24" t="str">
        <x:v>DW-T0102</x:v>
      </x:c>
      <x:c r="B106" s="24" t="str">
        <x:v>Google Play achievements</x:v>
      </x:c>
      <x:c r="C106" s="24" t="str">
        <x:v>콤피</x:v>
      </x:c>
      <x:c r="D106" s="24" t="str">
        <x:v>Google Play Games</x:v>
      </x:c>
      <x:c r="E106" s="24" t="str">
        <x:v>Android achievement</x:v>
      </x:c>
      <x:c r="F106" s="24" t="str">
        <x:v>Compsognathus achievement (exact conditions not recovered)</x:v>
      </x:c>
      <x:c r="G106" s="24" t="str"/>
      <x:c r="H106" s="26"/>
      <x:c r="I106" s="26"/>
      <x:c r="J106" s="24" t="str">
        <x:v>500 Google Play achievement XP (not in-game SP or currency)</x:v>
      </x:c>
      <x:c r="K106" s="24" t="str">
        <x:v>One-time</x:v>
      </x:c>
      <x:c r="L106" s="24" t="str">
        <x:v>Title sourced; objective missing</x:v>
      </x:c>
      <x:c r="M106" s="24" t="str">
        <x:v>Yes</x:v>
      </x:c>
      <x:c r="N106" s="24" t="str">
        <x:v>External Google Play achievements, not the full in-game Tasks achievement list.</x:v>
      </x:c>
      <x:c r="O106" s="24" t="str">
        <x:v>https://www.exophase.com/game/durango-wild-lands-android/achievements/</x:v>
      </x:c>
    </x:row>
    <x:row r="107" ht="30" customHeight="1">
      <x:c r="A107" s="24" t="str">
        <x:v>DW-T0103</x:v>
      </x:c>
      <x:c r="B107" s="24" t="str">
        <x:v>Google Play achievements</x:v>
      </x:c>
      <x:c r="C107" s="24" t="str">
        <x:v>랩터</x:v>
      </x:c>
      <x:c r="D107" s="24" t="str">
        <x:v>Google Play Games</x:v>
      </x:c>
      <x:c r="E107" s="24" t="str">
        <x:v>Android achievement</x:v>
      </x:c>
      <x:c r="F107" s="24" t="str">
        <x:v>Raptor achievement (exact conditions not recovered)</x:v>
      </x:c>
      <x:c r="G107" s="24" t="str"/>
      <x:c r="H107" s="26"/>
      <x:c r="I107" s="26"/>
      <x:c r="J107" s="24" t="str">
        <x:v>500 Google Play achievement XP (not in-game SP or currency)</x:v>
      </x:c>
      <x:c r="K107" s="24" t="str">
        <x:v>One-time</x:v>
      </x:c>
      <x:c r="L107" s="24" t="str">
        <x:v>Title sourced; objective missing</x:v>
      </x:c>
      <x:c r="M107" s="24" t="str">
        <x:v>Yes</x:v>
      </x:c>
      <x:c r="N107" s="24" t="str">
        <x:v>External Google Play achievements, not the full in-game Tasks achievement list.</x:v>
      </x:c>
      <x:c r="O107" s="24" t="str">
        <x:v>https://www.exophase.com/game/durango-wild-lands-android/achievements/</x:v>
      </x:c>
    </x:row>
    <x:row r="108" ht="30" customHeight="1">
      <x:c r="A108" s="24" t="str">
        <x:v>DW-T0104</x:v>
      </x:c>
      <x:c r="B108" s="24" t="str">
        <x:v>Google Play achievements</x:v>
      </x:c>
      <x:c r="C108" s="24" t="str">
        <x:v>스밀로돈</x:v>
      </x:c>
      <x:c r="D108" s="24" t="str">
        <x:v>Google Play Games</x:v>
      </x:c>
      <x:c r="E108" s="24" t="str">
        <x:v>Android achievement</x:v>
      </x:c>
      <x:c r="F108" s="24" t="str">
        <x:v>Smilodon achievement (exact conditions not recovered)</x:v>
      </x:c>
      <x:c r="G108" s="24" t="str"/>
      <x:c r="H108" s="26"/>
      <x:c r="I108" s="26"/>
      <x:c r="J108" s="24" t="str">
        <x:v>500 Google Play achievement XP (not in-game SP or currency)</x:v>
      </x:c>
      <x:c r="K108" s="24" t="str">
        <x:v>One-time</x:v>
      </x:c>
      <x:c r="L108" s="24" t="str">
        <x:v>Title sourced; objective missing</x:v>
      </x:c>
      <x:c r="M108" s="24" t="str">
        <x:v>Yes</x:v>
      </x:c>
      <x:c r="N108" s="24" t="str">
        <x:v>External Google Play achievements, not the full in-game Tasks achievement list.</x:v>
      </x:c>
      <x:c r="O108" s="24" t="str">
        <x:v>https://www.exophase.com/game/durango-wild-lands-android/achievements/</x:v>
      </x:c>
    </x:row>
    <x:row r="109" ht="30" customHeight="1">
      <x:c r="A109" s="24" t="str">
        <x:v>DW-T0105</x:v>
      </x:c>
      <x:c r="B109" s="24" t="str">
        <x:v>Google Play achievements</x:v>
      </x:c>
      <x:c r="C109" s="24" t="str">
        <x:v>티라노</x:v>
      </x:c>
      <x:c r="D109" s="24" t="str">
        <x:v>Google Play Games</x:v>
      </x:c>
      <x:c r="E109" s="24" t="str">
        <x:v>Android achievement</x:v>
      </x:c>
      <x:c r="F109" s="24" t="str">
        <x:v>Tyrannosaurus achievement (exact conditions not recovered)</x:v>
      </x:c>
      <x:c r="G109" s="24" t="str"/>
      <x:c r="H109" s="26"/>
      <x:c r="I109" s="26"/>
      <x:c r="J109" s="24" t="str">
        <x:v>500 Google Play achievement XP (not in-game SP or currency)</x:v>
      </x:c>
      <x:c r="K109" s="24" t="str">
        <x:v>One-time</x:v>
      </x:c>
      <x:c r="L109" s="24" t="str">
        <x:v>Title sourced; objective missing</x:v>
      </x:c>
      <x:c r="M109" s="24" t="str">
        <x:v>Yes</x:v>
      </x:c>
      <x:c r="N109" s="24" t="str">
        <x:v>External Google Play achievements, not the full in-game Tasks achievement list.</x:v>
      </x:c>
      <x:c r="O109" s="24" t="str">
        <x:v>https://www.exophase.com/game/durango-wild-lands-android/achievements/</x:v>
      </x:c>
    </x:row>
    <x:row r="110" ht="30" customHeight="1">
      <x:c r="A110" s="24" t="str">
        <x:v>DW-T0106</x:v>
      </x:c>
      <x:c r="B110" s="24" t="str">
        <x:v>Google Play achievements</x:v>
      </x:c>
      <x:c r="C110" s="24" t="str">
        <x:v>Callused Fingers</x:v>
      </x:c>
      <x:c r="D110" s="24" t="str">
        <x:v>Google Play Games</x:v>
      </x:c>
      <x:c r="E110" s="24" t="str">
        <x:v>Android achievement</x:v>
      </x:c>
      <x:c r="F110" s="24" t="str">
        <x:v>Craft your first makeshift axe</x:v>
      </x:c>
      <x:c r="G110" s="24" t="str"/>
      <x:c r="H110" s="26"/>
      <x:c r="I110" s="26"/>
      <x:c r="J110" s="24" t="str">
        <x:v>1000 Google Play achievement XP (not in-game SP or currency)</x:v>
      </x:c>
      <x:c r="K110" s="24" t="str">
        <x:v>One-time</x:v>
      </x:c>
      <x:c r="L110" s="24" t="str">
        <x:v>Title &amp; description sourced</x:v>
      </x:c>
      <x:c r="M110" s="24" t="str">
        <x:v>Yes</x:v>
      </x:c>
      <x:c r="N110" s="24" t="str">
        <x:v>External Google Play achievements, not the full in-game Tasks achievement list.</x:v>
      </x:c>
      <x:c r="O110" s="24" t="str">
        <x:v>https://www.exophase.com/game/durango-wild-lands-android/achievements/</x:v>
      </x:c>
    </x:row>
    <x:row r="111" ht="30" customHeight="1">
      <x:c r="A111" s="24" t="str">
        <x:v>DW-T0107</x:v>
      </x:c>
      <x:c r="B111" s="24" t="str">
        <x:v>Google Play achievements</x:v>
      </x:c>
      <x:c r="C111" s="24" t="str">
        <x:v>The New World Awaits</x:v>
      </x:c>
      <x:c r="D111" s="24" t="str">
        <x:v>Google Play Games</x:v>
      </x:c>
      <x:c r="E111" s="24" t="str">
        <x:v>Android achievement</x:v>
      </x:c>
      <x:c r="F111" s="24" t="str">
        <x:v>Escape Ancora</x:v>
      </x:c>
      <x:c r="G111" s="24" t="str"/>
      <x:c r="H111" s="26"/>
      <x:c r="I111" s="26"/>
      <x:c r="J111" s="24" t="str">
        <x:v>1000 Google Play achievement XP (not in-game SP or currency)</x:v>
      </x:c>
      <x:c r="K111" s="24" t="str">
        <x:v>One-time</x:v>
      </x:c>
      <x:c r="L111" s="24" t="str">
        <x:v>Title &amp; description sourced</x:v>
      </x:c>
      <x:c r="M111" s="24" t="str">
        <x:v>Yes</x:v>
      </x:c>
      <x:c r="N111" s="24" t="str">
        <x:v>External Google Play achievements, not the full in-game Tasks achievement list.</x:v>
      </x:c>
      <x:c r="O111" s="24" t="str">
        <x:v>https://www.exophase.com/game/durango-wild-lands-android/achievements/</x:v>
      </x:c>
    </x:row>
    <x:row r="112" ht="30" customHeight="1">
      <x:c r="A112" s="24" t="str">
        <x:v>DW-T0108</x:v>
      </x:c>
      <x:c r="B112" s="24" t="str">
        <x:v>Google Play achievements</x:v>
      </x:c>
      <x:c r="C112" s="24" t="str">
        <x:v>Home Sweet Home</x:v>
      </x:c>
      <x:c r="D112" s="24" t="str">
        <x:v>Google Play Games</x:v>
      </x:c>
      <x:c r="E112" s="24" t="str">
        <x:v>Android achievement</x:v>
      </x:c>
      <x:c r="F112" s="24" t="str">
        <x:v>Claim your first piece of land</x:v>
      </x:c>
      <x:c r="G112" s="24" t="str"/>
      <x:c r="H112" s="26"/>
      <x:c r="I112" s="26"/>
      <x:c r="J112" s="24" t="str">
        <x:v>1000 Google Play achievement XP (not in-game SP or currency)</x:v>
      </x:c>
      <x:c r="K112" s="24" t="str">
        <x:v>One-time</x:v>
      </x:c>
      <x:c r="L112" s="24" t="str">
        <x:v>Title &amp; description sourced</x:v>
      </x:c>
      <x:c r="M112" s="24" t="str">
        <x:v>Yes</x:v>
      </x:c>
      <x:c r="N112" s="24" t="str">
        <x:v>External Google Play achievements, not the full in-game Tasks achievement list.</x:v>
      </x:c>
      <x:c r="O112" s="24" t="str">
        <x:v>https://www.exophase.com/game/durango-wild-lands-android/achievements/</x:v>
      </x:c>
    </x:row>
    <x:row r="113" ht="30" customHeight="1">
      <x:c r="A113" s="24" t="str">
        <x:v>DW-T0109</x:v>
      </x:c>
      <x:c r="B113" s="24" t="str">
        <x:v>Google Play achievements</x:v>
      </x:c>
      <x:c r="C113" s="24" t="str">
        <x:v>Only the Strong</x:v>
      </x:c>
      <x:c r="D113" s="24" t="str">
        <x:v>Google Play Games</x:v>
      </x:c>
      <x:c r="E113" s="24" t="str">
        <x:v>Android achievement</x:v>
      </x:c>
      <x:c r="F113" s="24" t="str">
        <x:v>Win your first battle</x:v>
      </x:c>
      <x:c r="G113" s="24" t="str"/>
      <x:c r="H113" s="26"/>
      <x:c r="I113" s="26"/>
      <x:c r="J113" s="24" t="str">
        <x:v>1000 Google Play achievement XP (not in-game SP or currency)</x:v>
      </x:c>
      <x:c r="K113" s="24" t="str">
        <x:v>One-time</x:v>
      </x:c>
      <x:c r="L113" s="24" t="str">
        <x:v>Title &amp; description sourced</x:v>
      </x:c>
      <x:c r="M113" s="24" t="str">
        <x:v>Yes</x:v>
      </x:c>
      <x:c r="N113" s="24" t="str">
        <x:v>External Google Play achievements, not the full in-game Tasks achievement list.</x:v>
      </x:c>
      <x:c r="O113" s="24" t="str">
        <x:v>https://www.exophase.com/game/durango-wild-lands-android/achievements/</x:v>
      </x:c>
    </x:row>
    <x:row r="114" ht="30" customHeight="1">
      <x:c r="A114" s="24" t="str">
        <x:v>DW-T0110</x:v>
      </x:c>
      <x:c r="B114" s="24" t="str">
        <x:v>Google Play achievements</x:v>
      </x:c>
      <x:c r="C114" s="24" t="str">
        <x:v>Self-Starter</x:v>
      </x:c>
      <x:c r="D114" s="24" t="str">
        <x:v>Google Play Games</x:v>
      </x:c>
      <x:c r="E114" s="24" t="str">
        <x:v>Android achievement</x:v>
      </x:c>
      <x:c r="F114" s="24" t="str">
        <x:v>Complete your first mission</x:v>
      </x:c>
      <x:c r="G114" s="24" t="str"/>
      <x:c r="H114" s="26"/>
      <x:c r="I114" s="26"/>
      <x:c r="J114" s="24" t="str">
        <x:v>1000 Google Play achievement XP (not in-game SP or currency)</x:v>
      </x:c>
      <x:c r="K114" s="24" t="str">
        <x:v>One-time</x:v>
      </x:c>
      <x:c r="L114" s="24" t="str">
        <x:v>Title &amp; description sourced</x:v>
      </x:c>
      <x:c r="M114" s="24" t="str">
        <x:v>Yes</x:v>
      </x:c>
      <x:c r="N114" s="24" t="str">
        <x:v>External Google Play achievements, not the full in-game Tasks achievement list.</x:v>
      </x:c>
      <x:c r="O114" s="24" t="str">
        <x:v>https://www.exophase.com/game/durango-wild-lands-android/achievements/</x:v>
      </x:c>
    </x:row>
    <x:row r="115" ht="30" customHeight="1">
      <x:c r="A115" s="24" t="str">
        <x:v>DW-T0111</x:v>
      </x:c>
      <x:c r="B115" s="24" t="str">
        <x:v>Google Play achievements</x:v>
      </x:c>
      <x:c r="C115" s="24" t="str">
        <x:v>Surviving</x:v>
      </x:c>
      <x:c r="D115" s="24" t="str">
        <x:v>Google Play Games</x:v>
      </x:c>
      <x:c r="E115" s="24" t="str">
        <x:v>Android achievement</x:v>
      </x:c>
      <x:c r="F115" s="24" t="str">
        <x:v>Reach player Lv. 10</x:v>
      </x:c>
      <x:c r="G115" s="24" t="str"/>
      <x:c r="H115" s="26"/>
      <x:c r="I115" s="26"/>
      <x:c r="J115" s="24" t="str">
        <x:v>1000 Google Play achievement XP (not in-game SP or currency)</x:v>
      </x:c>
      <x:c r="K115" s="24" t="str">
        <x:v>One-time</x:v>
      </x:c>
      <x:c r="L115" s="24" t="str">
        <x:v>Title &amp; description sourced</x:v>
      </x:c>
      <x:c r="M115" s="24" t="str">
        <x:v>Yes</x:v>
      </x:c>
      <x:c r="N115" s="24" t="str">
        <x:v>External Google Play achievements, not the full in-game Tasks achievement list.</x:v>
      </x:c>
      <x:c r="O115" s="24" t="str">
        <x:v>https://www.exophase.com/game/durango-wild-lands-android/achievements/</x:v>
      </x:c>
    </x:row>
    <x:row r="116" ht="30" customHeight="1">
      <x:c r="A116" s="24" t="str">
        <x:v>DW-T0112</x:v>
      </x:c>
      <x:c r="B116" s="24" t="str">
        <x:v>Google Play achievements</x:v>
      </x:c>
      <x:c r="C116" s="24" t="str">
        <x:v>Learning</x:v>
      </x:c>
      <x:c r="D116" s="24" t="str">
        <x:v>Google Play Games</x:v>
      </x:c>
      <x:c r="E116" s="24" t="str">
        <x:v>Android achievement</x:v>
      </x:c>
      <x:c r="F116" s="24" t="str">
        <x:v>Reach player Lv. 20</x:v>
      </x:c>
      <x:c r="G116" s="24" t="str"/>
      <x:c r="H116" s="26"/>
      <x:c r="I116" s="26"/>
      <x:c r="J116" s="24" t="str">
        <x:v>1000 Google Play achievement XP (not in-game SP or currency)</x:v>
      </x:c>
      <x:c r="K116" s="24" t="str">
        <x:v>One-time</x:v>
      </x:c>
      <x:c r="L116" s="24" t="str">
        <x:v>Title &amp; description sourced</x:v>
      </x:c>
      <x:c r="M116" s="24" t="str">
        <x:v>Yes</x:v>
      </x:c>
      <x:c r="N116" s="24" t="str">
        <x:v>External Google Play achievements, not the full in-game Tasks achievement list.</x:v>
      </x:c>
      <x:c r="O116" s="24" t="str">
        <x:v>https://www.exophase.com/game/durango-wild-lands-android/achievements/</x:v>
      </x:c>
    </x:row>
    <x:row r="117" ht="30" customHeight="1">
      <x:c r="A117" s="24" t="str">
        <x:v>DW-T0113</x:v>
      </x:c>
      <x:c r="B117" s="24" t="str">
        <x:v>Google Play achievements</x:v>
      </x:c>
      <x:c r="C117" s="24" t="str">
        <x:v>Adjusting</x:v>
      </x:c>
      <x:c r="D117" s="24" t="str">
        <x:v>Google Play Games</x:v>
      </x:c>
      <x:c r="E117" s="24" t="str">
        <x:v>Android achievement</x:v>
      </x:c>
      <x:c r="F117" s="24" t="str">
        <x:v>Reach player Lv. 30</x:v>
      </x:c>
      <x:c r="G117" s="24" t="str"/>
      <x:c r="H117" s="26"/>
      <x:c r="I117" s="26"/>
      <x:c r="J117" s="24" t="str">
        <x:v>1000 Google Play achievement XP (not in-game SP or currency)</x:v>
      </x:c>
      <x:c r="K117" s="24" t="str">
        <x:v>One-time</x:v>
      </x:c>
      <x:c r="L117" s="24" t="str">
        <x:v>Title &amp; description sourced</x:v>
      </x:c>
      <x:c r="M117" s="24" t="str">
        <x:v>Yes</x:v>
      </x:c>
      <x:c r="N117" s="24" t="str">
        <x:v>External Google Play achievements, not the full in-game Tasks achievement list.</x:v>
      </x:c>
      <x:c r="O117" s="24" t="str">
        <x:v>https://www.exophase.com/game/durango-wild-lands-android/achievements/</x:v>
      </x:c>
    </x:row>
    <x:row r="118" ht="30" customHeight="1">
      <x:c r="A118" s="24" t="str">
        <x:v>DW-T0114</x:v>
      </x:c>
      <x:c r="B118" s="24" t="str">
        <x:v>Google Play achievements</x:v>
      </x:c>
      <x:c r="C118" s="24" t="str">
        <x:v>Settling</x:v>
      </x:c>
      <x:c r="D118" s="24" t="str">
        <x:v>Google Play Games</x:v>
      </x:c>
      <x:c r="E118" s="24" t="str">
        <x:v>Android achievement</x:v>
      </x:c>
      <x:c r="F118" s="24" t="str">
        <x:v>Reach player Lv. 40</x:v>
      </x:c>
      <x:c r="G118" s="24" t="str"/>
      <x:c r="H118" s="26"/>
      <x:c r="I118" s="26"/>
      <x:c r="J118" s="24" t="str">
        <x:v>1000 Google Play achievement XP (not in-game SP or currency)</x:v>
      </x:c>
      <x:c r="K118" s="24" t="str">
        <x:v>One-time</x:v>
      </x:c>
      <x:c r="L118" s="24" t="str">
        <x:v>Title &amp; description sourced</x:v>
      </x:c>
      <x:c r="M118" s="24" t="str">
        <x:v>Yes</x:v>
      </x:c>
      <x:c r="N118" s="24" t="str">
        <x:v>External Google Play achievements, not the full in-game Tasks achievement list.</x:v>
      </x:c>
      <x:c r="O118" s="24" t="str">
        <x:v>https://www.exophase.com/game/durango-wild-lands-android/achievements/</x:v>
      </x:c>
    </x:row>
    <x:row r="119" ht="30" customHeight="1">
      <x:c r="A119" s="24" t="str">
        <x:v>DW-T0115</x:v>
      </x:c>
      <x:c r="B119" s="24" t="str">
        <x:v>Google Play achievements</x:v>
      </x:c>
      <x:c r="C119" s="24" t="str">
        <x:v>Adventuring</x:v>
      </x:c>
      <x:c r="D119" s="24" t="str">
        <x:v>Google Play Games</x:v>
      </x:c>
      <x:c r="E119" s="24" t="str">
        <x:v>Android achievement</x:v>
      </x:c>
      <x:c r="F119" s="24" t="str">
        <x:v>Reach player Lv. 50</x:v>
      </x:c>
      <x:c r="G119" s="24" t="str"/>
      <x:c r="H119" s="26"/>
      <x:c r="I119" s="26"/>
      <x:c r="J119" s="24" t="str">
        <x:v>1000 Google Play achievement XP (not in-game SP or currency)</x:v>
      </x:c>
      <x:c r="K119" s="24" t="str">
        <x:v>One-time</x:v>
      </x:c>
      <x:c r="L119" s="24" t="str">
        <x:v>Title &amp; description sourced</x:v>
      </x:c>
      <x:c r="M119" s="24" t="str">
        <x:v>Yes</x:v>
      </x:c>
      <x:c r="N119" s="24" t="str">
        <x:v>External Google Play achievements, not the full in-game Tasks achievement list.</x:v>
      </x:c>
      <x:c r="O119" s="24" t="str">
        <x:v>https://www.exophase.com/game/durango-wild-lands-android/achievements/</x:v>
      </x:c>
    </x:row>
    <x:row r="120" ht="30" customHeight="1">
      <x:c r="A120" s="24" t="str">
        <x:v>DW-T0116</x:v>
      </x:c>
      <x:c r="B120" s="24" t="str">
        <x:v>Google Play achievements</x:v>
      </x:c>
      <x:c r="C120" s="24" t="str">
        <x:v>Conquering</x:v>
      </x:c>
      <x:c r="D120" s="24" t="str">
        <x:v>Google Play Games</x:v>
      </x:c>
      <x:c r="E120" s="24" t="str">
        <x:v>Android achievement</x:v>
      </x:c>
      <x:c r="F120" s="24" t="str">
        <x:v>Reach player Lv. 60</x:v>
      </x:c>
      <x:c r="G120" s="24" t="str"/>
      <x:c r="H120" s="26"/>
      <x:c r="I120" s="26"/>
      <x:c r="J120" s="24" t="str">
        <x:v>1000 Google Play achievement XP (not in-game SP or currency)</x:v>
      </x:c>
      <x:c r="K120" s="24" t="str">
        <x:v>One-time</x:v>
      </x:c>
      <x:c r="L120" s="24" t="str">
        <x:v>Title &amp; description sourced</x:v>
      </x:c>
      <x:c r="M120" s="24" t="str">
        <x:v>Yes</x:v>
      </x:c>
      <x:c r="N120" s="24" t="str">
        <x:v>External Google Play achievements, not the full in-game Tasks achievement list.</x:v>
      </x:c>
      <x:c r="O120" s="24" t="str">
        <x:v>https://www.exophase.com/game/durango-wild-lands-android/achievements/</x:v>
      </x:c>
    </x:row>
    <x:row r="121" ht="30" customHeight="1">
      <x:c r="A121" s="24" t="str">
        <x:v>DW-T0117</x:v>
      </x:c>
      <x:c r="B121" s="24" t="str">
        <x:v>Daily tasks</x:v>
      </x:c>
      <x:c r="C121" s="24" t="str">
        <x:v>[Daily] Material Processing</x:v>
      </x:c>
      <x:c r="D121" s="24" t="str">
        <x:v>Processing</x:v>
      </x:c>
      <x:c r="E121" s="24" t="str">
        <x:v>Tasks &gt; Daily</x:v>
      </x:c>
      <x:c r="F121" s="24" t="str">
        <x:v>Trim materials using the Trimmed Material processing skill.</x:v>
      </x:c>
      <x:c r="G121" s="24" t="str">
        <x:v>Trimmed Material</x:v>
      </x:c>
      <x:c r="H121" s="26"/>
      <x:c r="I121" s="26" t="n">
        <x:v>25</x:v>
      </x:c>
      <x:c r="J121" s="24" t="str">
        <x:v>EXP, T-Stones and task points (amount unknown)</x:v>
      </x:c>
      <x:c r="K121" s="24" t="str">
        <x:v>Daily</x:v>
      </x:c>
      <x:c r="L121" s="24" t="str">
        <x:v>Named &amp; sourced</x:v>
      </x:c>
      <x:c r="M121" s="24" t="str">
        <x:v>Yes</x:v>
      </x:c>
      <x:c r="N121" s="24" t="str">
        <x:v>Name from contemporaneous player screenshot description; Lv25 is skill unlock requirement, not necessarily target item level.</x:v>
      </x:c>
      <x:c r="O121" s="24" t="str">
        <x:v>https://www.reddit.com/r/DurangoWildLands/comments/d43xu9</x:v>
      </x:c>
    </x:row>
    <x:row r="122" ht="30" customHeight="1">
      <x:c r="A122" s="24" t="str">
        <x:v>DW-T0118</x:v>
      </x:c>
      <x:c r="B122" s="24" t="str">
        <x:v>Daily tasks</x:v>
      </x:c>
      <x:c r="C122" s="24" t="str">
        <x:v>Trim Materials</x:v>
      </x:c>
      <x:c r="D122" s="24" t="str">
        <x:v>Processing</x:v>
      </x:c>
      <x:c r="E122" s="24" t="str">
        <x:v>Tasks &gt; Daily</x:v>
      </x:c>
      <x:c r="F122" s="24" t="str">
        <x:v>Produce trimmed materials with a Lv. 20+ workbench.</x:v>
      </x:c>
      <x:c r="G122" s="24" t="str">
        <x:v>Trimmed Material</x:v>
      </x:c>
      <x:c r="H122" s="26"/>
      <x:c r="I122" s="26"/>
      <x:c r="J122" s="24" t="str">
        <x:v>EXP, T-Stones, task points</x:v>
      </x:c>
      <x:c r="K122" s="24" t="str">
        <x:v>Daily</x:v>
      </x:c>
      <x:c r="L122" s="24" t="str">
        <x:v>Objective sourced; title may vary</x:v>
      </x:c>
      <x:c r="M122" s="24" t="str">
        <x:v>No (descriptive)</x:v>
      </x:c>
      <x:c r="N122" s="24" t="str">
        <x:v>Same activity as [Daily] Material Processing; retained as corroborating task/objective variant.</x:v>
      </x:c>
      <x:c r="O122" s="24" t="str">
        <x:v>https://www.mrguider.org/cheats/durango-wild-lands-guide-tips-cheats-strategies/</x:v>
      </x:c>
    </x:row>
    <x:row r="123" ht="30" customHeight="1">
      <x:c r="A123" s="24" t="str">
        <x:v>DW-T0119</x:v>
      </x:c>
      <x:c r="B123" s="24" t="str">
        <x:v>Daily tasks</x:v>
      </x:c>
      <x:c r="C123" s="24" t="str">
        <x:v>Butcher 10 times</x:v>
      </x:c>
      <x:c r="D123" s="24" t="str">
        <x:v>Butchering</x:v>
      </x:c>
      <x:c r="E123" s="24" t="str">
        <x:v>Tasks &gt; Daily</x:v>
      </x:c>
      <x:c r="F123" s="24" t="str">
        <x:v>Perform ten butchering interactions</x:v>
      </x:c>
      <x:c r="G123" s="24" t="str">
        <x:v>Any animal carcass</x:v>
      </x:c>
      <x:c r="H123" s="26" t="n">
        <x:v>10</x:v>
      </x:c>
      <x:c r="I123" s="26"/>
      <x:c r="J123" s="24" t="str">
        <x:v>T-Stones, EXP / task points (exact amount unknown)</x:v>
      </x:c>
      <x:c r="K123" s="24" t="str">
        <x:v>Daily</x:v>
      </x:c>
      <x:c r="L123" s="24" t="str">
        <x:v>Objective sourced; official name unknown</x:v>
      </x:c>
      <x:c r="M123" s="24" t="str">
        <x:v>No (descriptive)</x:v>
      </x:c>
      <x:c r="N123" s="24" t="str">
        <x:v>2019 player guide explicitly cites 'Butcher 10 times' as a daily objective.</x:v>
      </x:c>
      <x:c r="O123" s="24" t="str">
        <x:v>https://www.reddit.com/r/DurangoWildLands/comments/bvjgh4</x:v>
      </x:c>
    </x:row>
    <x:row r="124" ht="30" customHeight="1">
      <x:c r="A124" s="24" t="str">
        <x:v>DW-T0120</x:v>
      </x:c>
      <x:c r="B124" s="24" t="str">
        <x:v>Daily tasks</x:v>
      </x:c>
      <x:c r="C124" s="24" t="str">
        <x:v>Craft leaf outfits [label descriptive]</x:v>
      </x:c>
      <x:c r="D124" s="24" t="str">
        <x:v>Tailoring</x:v>
      </x:c>
      <x:c r="E124" s="24" t="str">
        <x:v>Tasks &gt; Daily</x:v>
      </x:c>
      <x:c r="F124" s="24" t="str">
        <x:v>Craft beginner leaf clothing for routine task credit.</x:v>
      </x:c>
      <x:c r="G124" s="24" t="str">
        <x:v>Leaf Outfit</x:v>
      </x:c>
      <x:c r="H124" s="26"/>
      <x:c r="I124" s="26"/>
      <x:c r="J124" s="24" t="str">
        <x:v>Daily rewards (amount unknown)</x:v>
      </x:c>
      <x:c r="K124" s="24" t="str">
        <x:v>Daily</x:v>
      </x:c>
      <x:c r="L124" s="24" t="str">
        <x:v>Activity sourced; daily title and quantity missing</x:v>
      </x:c>
      <x:c r="M124" s="24" t="str">
        <x:v>No (descriptive)</x:v>
      </x:c>
      <x:c r="N124" s="24" t="str">
        <x:v>Player recommends crafting leaf outfits for daily tasks; not a verified exact task label.</x:v>
      </x:c>
      <x:c r="O124" s="24" t="str">
        <x:v>https://www.reddit.com/r/DurangoWildLands/comments/c296hj</x:v>
      </x:c>
    </x:row>
    <x:row r="125" ht="30" customHeight="1">
      <x:c r="A125" s="24" t="str">
        <x:v>DW-T0121</x:v>
      </x:c>
      <x:c r="B125" s="24" t="str">
        <x:v>Daily tasks</x:v>
      </x:c>
      <x:c r="C125" s="24" t="str">
        <x:v>Craft stone blades [label descriptive]</x:v>
      </x:c>
      <x:c r="D125" s="24" t="str">
        <x:v>Weapon/Tool Crafting</x:v>
      </x:c>
      <x:c r="E125" s="24" t="str">
        <x:v>Tasks &gt; Daily</x:v>
      </x:c>
      <x:c r="F125" s="24" t="str">
        <x:v>Craft pebble stone blades for routine skill/task credit.</x:v>
      </x:c>
      <x:c r="G125" s="24" t="str">
        <x:v>Pebble Stone Blade</x:v>
      </x:c>
      <x:c r="H125" s="26"/>
      <x:c r="I125" s="26"/>
      <x:c r="J125" s="24" t="str">
        <x:v>Daily rewards (amount unknown)</x:v>
      </x:c>
      <x:c r="K125" s="24" t="str">
        <x:v>Daily</x:v>
      </x:c>
      <x:c r="L125" s="24" t="str">
        <x:v>Activity sourced; daily title and quantity missing</x:v>
      </x:c>
      <x:c r="M125" s="24" t="str">
        <x:v>No (descriptive)</x:v>
      </x:c>
      <x:c r="N125" s="24" t="str">
        <x:v>Player mentions stone blades for skill and tasks, not an exact objective.</x:v>
      </x:c>
      <x:c r="O125" s="24" t="str">
        <x:v>https://www.reddit.com/r/DurangoWildLands/comments/c296hj</x:v>
      </x:c>
    </x:row>
    <x:row r="126" ht="30" customHeight="1">
      <x:c r="A126" s="24" t="str">
        <x:v>DW-T0122</x:v>
      </x:c>
      <x:c r="B126" s="24" t="str">
        <x:v>Daily tasks</x:v>
      </x:c>
      <x:c r="C126" s="24" t="str">
        <x:v>Gather resources [label descriptive]</x:v>
      </x:c>
      <x:c r="D126" s="24" t="str">
        <x:v>Gathering</x:v>
      </x:c>
      <x:c r="E126" s="24" t="str">
        <x:v>Tasks &gt; Daily</x:v>
      </x:c>
      <x:c r="F126" s="24" t="str">
        <x:v>Gather designated resources; number and materials vary.</x:v>
      </x:c>
      <x:c r="G126" s="24" t="str">
        <x:v>Resources</x:v>
      </x:c>
      <x:c r="H126" s="26"/>
      <x:c r="I126" s="26"/>
      <x:c r="J126" s="24" t="str">
        <x:v>EXP, T-Stones, task points</x:v>
      </x:c>
      <x:c r="K126" s="24" t="str">
        <x:v>Daily</x:v>
      </x:c>
      <x:c r="L126" s="24" t="str">
        <x:v>System verified; exact task not recovered</x:v>
      </x:c>
      <x:c r="M126" s="24" t="str">
        <x:v>No (descriptive)</x:v>
      </x:c>
      <x:c r="N126" s="24" t="str">
        <x:v>2017 beta patch describes gathering as a typical daily objective.</x:v>
      </x:c>
      <x:c r="O126" s="24" t="str">
        <x:v>https://m.inven.co.kr/webzine/wznews.php?idx=191476&amp;iskin=durango</x:v>
      </x:c>
    </x:row>
    <x:row r="127" ht="30" customHeight="1">
      <x:c r="A127" s="24" t="str">
        <x:v>DW-T0123</x:v>
      </x:c>
      <x:c r="B127" s="24" t="str">
        <x:v>Daily tasks</x:v>
      </x:c>
      <x:c r="C127" s="24" t="str">
        <x:v>Construct a building [label descriptive]</x:v>
      </x:c>
      <x:c r="D127" s="24" t="str">
        <x:v>Construction</x:v>
      </x:c>
      <x:c r="E127" s="24" t="str">
        <x:v>Tasks &gt; Daily</x:v>
      </x:c>
      <x:c r="F127" s="24" t="str">
        <x:v>Build the specified structure; details vary.</x:v>
      </x:c>
      <x:c r="G127" s="24" t="str">
        <x:v>Building</x:v>
      </x:c>
      <x:c r="H127" s="26"/>
      <x:c r="I127" s="26"/>
      <x:c r="J127" s="24" t="str">
        <x:v>EXP, T-Stones, task points</x:v>
      </x:c>
      <x:c r="K127" s="24" t="str">
        <x:v>Daily</x:v>
      </x:c>
      <x:c r="L127" s="24" t="str">
        <x:v>System verified; exact task not recovered</x:v>
      </x:c>
      <x:c r="M127" s="24" t="str">
        <x:v>No (descriptive)</x:v>
      </x:c>
      <x:c r="N127" s="24" t="str">
        <x:v>2017 beta patch describes building as a typical daily objective.</x:v>
      </x:c>
      <x:c r="O127" s="24" t="str">
        <x:v>https://m.inven.co.kr/webzine/wznews.php?idx=191476&amp;iskin=durango</x:v>
      </x:c>
    </x:row>
    <x:row r="128" ht="30" customHeight="1">
      <x:c r="A128" s="24" t="str">
        <x:v>DW-T0124</x:v>
      </x:c>
      <x:c r="B128" s="24" t="str">
        <x:v>Daily tasks</x:v>
      </x:c>
      <x:c r="C128" s="24" t="str">
        <x:v>Daily task-point threshold: 50 points</x:v>
      </x:c>
      <x:c r="D128" s="24" t="str">
        <x:v>Daily meta</x:v>
      </x:c>
      <x:c r="E128" s="24" t="str">
        <x:v>Tasks &gt; Daily</x:v>
      </x:c>
      <x:c r="F128" s="24" t="str">
        <x:v>Complete enough daily tasks to reach 50 task points.</x:v>
      </x:c>
      <x:c r="G128" s="24" t="str">
        <x:v>Task points</x:v>
      </x:c>
      <x:c r="H128" s="26" t="n">
        <x:v>50</x:v>
      </x:c>
      <x:c r="I128" s="26"/>
      <x:c r="J128" s="24" t="str">
        <x:v>15 Warp Gems</x:v>
      </x:c>
      <x:c r="K128" s="24" t="str">
        <x:v>Daily</x:v>
      </x:c>
      <x:c r="L128" s="24" t="str">
        <x:v>Threshold documented</x:v>
      </x:c>
      <x:c r="M128" s="24" t="str">
        <x:v>No (descriptive)</x:v>
      </x:c>
      <x:c r="N128" s="24" t="str">
        <x:v>This is a reward threshold, not necessarily an independently named task.</x:v>
      </x:c>
      <x:c r="O128" s="24" t="str">
        <x:v>https://www.levelwinner.com/durango-wild-lands-survival-guide-tips-cheats-strategies-to-maximize-growth-and-become-a-top-survivor/</x:v>
      </x:c>
    </x:row>
    <x:row r="129" ht="30" customHeight="1">
      <x:c r="A129" s="24" t="str">
        <x:v>DW-T0125</x:v>
      </x:c>
      <x:c r="B129" s="24" t="str">
        <x:v>Weekly tasks</x:v>
      </x:c>
      <x:c r="C129" s="24" t="str">
        <x:v>Explore Level-30 islands [label descriptive]</x:v>
      </x:c>
      <x:c r="D129" s="24" t="str">
        <x:v>Exploration</x:v>
      </x:c>
      <x:c r="E129" s="24" t="str">
        <x:v>Tasks &gt; Weekly</x:v>
      </x:c>
      <x:c r="F129" s="24" t="str">
        <x:v>Explore higher-level islands, with associated pioneer missions on Lv. 30 islands.</x:v>
      </x:c>
      <x:c r="G129" s="24" t="str">
        <x:v>Level-30 island missions</x:v>
      </x:c>
      <x:c r="H129" s="26"/>
      <x:c r="I129" s="26"/>
      <x:c r="J129" s="24" t="str">
        <x:v>Around 10,000 T-Stones (2019 player estimate)</x:v>
      </x:c>
      <x:c r="K129" s="24" t="str">
        <x:v>Weekly</x:v>
      </x:c>
      <x:c r="L129" s="24" t="str">
        <x:v>Objective and approximate reward sourced</x:v>
      </x:c>
      <x:c r="M129" s="24" t="str">
        <x:v>No (descriptive)</x:v>
      </x:c>
      <x:c r="N129" s="24" t="str">
        <x:v>Exact weekly task name, quantities and required island count are unavailable.</x:v>
      </x:c>
      <x:c r="O129" s="24" t="str">
        <x:v>https://www.reddit.com/r/DurangoWildLands/comments/bvjgh4</x:v>
      </x:c>
    </x:row>
    <x:row r="130" ht="30" customHeight="1">
      <x:c r="A130" s="24" t="str">
        <x:v>DW-T0126</x:v>
      </x:c>
      <x:c r="B130" s="24" t="str">
        <x:v>General / tutorial</x:v>
      </x:c>
      <x:c r="C130" s="24" t="str">
        <x:v>Encourage Other Pioneers With a Cheer</x:v>
      </x:c>
      <x:c r="D130" s="24" t="str">
        <x:v>Social</x:v>
      </x:c>
      <x:c r="E130" s="24" t="str">
        <x:v>Quests / tutorial</x:v>
      </x:c>
      <x:c r="F130" s="24" t="str">
        <x:v>Approach another player and use the Cheer (smiley) emote.</x:v>
      </x:c>
      <x:c r="G130" s="24" t="str">
        <x:v>Cheer emote</x:v>
      </x:c>
      <x:c r="H130" s="26" t="n">
        <x:v>1</x:v>
      </x:c>
      <x:c r="I130" s="26"/>
      <x:c r="J130" s="24" t="str">
        <x:v>Not recorded</x:v>
      </x:c>
      <x:c r="K130" s="24" t="str">
        <x:v>Unclear</x:v>
      </x:c>
      <x:c r="L130" s="24" t="str">
        <x:v>Named objective sourced</x:v>
      </x:c>
      <x:c r="M130" s="24" t="str">
        <x:v>Yes</x:v>
      </x:c>
      <x:c r="N130" s="24" t="str">
        <x:v>The emote had a reported 1-minute cooldown.</x:v>
      </x:c>
      <x:c r="O130" s="24" t="str">
        <x:v>https://www.mrguider.org/cheats/durango-wild-lands-guide-tips-cheats-strategies/</x:v>
      </x:c>
    </x:row>
    <x:row r="131" ht="30" customHeight="1">
      <x:c r="A131" s="24" t="str">
        <x:v>DW-T0127</x:v>
      </x:c>
      <x:c r="B131" s="24" t="str">
        <x:v>Career / construction tasks</x:v>
      </x:c>
      <x:c r="C131" s="24" t="str">
        <x:v>Construct an Advanced Kiln [task name unknown]</x:v>
      </x:c>
      <x:c r="D131" s="24" t="str">
        <x:v>Construction</x:v>
      </x:c>
      <x:c r="E131" s="24" t="str">
        <x:v>Civilized domain</x:v>
      </x:c>
      <x:c r="F131" s="24" t="str">
        <x:v>Craft/install the advanced kiln as a step in civilized-domain construction objectives.</x:v>
      </x:c>
      <x:c r="G131" s="24" t="str">
        <x:v>Advanced Kiln</x:v>
      </x:c>
      <x:c r="H131" s="26" t="n">
        <x:v>1</x:v>
      </x:c>
      <x:c r="I131" s="26"/>
      <x:c r="J131" s="24" t="str">
        <x:v>Skill points (exact number unknown)</x:v>
      </x:c>
      <x:c r="K131" s="24" t="str">
        <x:v>Career / progression</x:v>
      </x:c>
      <x:c r="L131" s="24" t="str">
        <x:v>Player report; exact task unknown</x:v>
      </x:c>
      <x:c r="M131" s="24" t="str">
        <x:v>No (descriptive)</x:v>
      </x:c>
      <x:c r="N131" s="24" t="str">
        <x:v>The commenter reported continuing construction tasks that award SP. Described stopping at Advanced Kiln.</x:v>
      </x:c>
      <x:c r="O131" s="24" t="str">
        <x:v>https://www.reddit.com/r/DurangoWildLands/comments/cocnny</x:v>
      </x:c>
    </x:row>
    <x:row r="132" ht="30" customHeight="1">
      <x:c r="A132" s="24" t="str">
        <x:v>DW-T0128</x:v>
      </x:c>
      <x:c r="B132" s="24" t="str">
        <x:v>Career / construction tasks</x:v>
      </x:c>
      <x:c r="C132" s="24" t="str">
        <x:v>Civilized domain building tasks [series]</x:v>
      </x:c>
      <x:c r="D132" s="24" t="str">
        <x:v>Construction</x:v>
      </x:c>
      <x:c r="E132" s="24" t="str">
        <x:v>Civilized domain</x:v>
      </x:c>
      <x:c r="F132" s="24" t="str">
        <x:v>Complete staged structure-construction challenges.</x:v>
      </x:c>
      <x:c r="G132" s="24" t="str">
        <x:v>Building structures</x:v>
      </x:c>
      <x:c r="H132" s="26"/>
      <x:c r="I132" s="26"/>
      <x:c r="J132" s="24" t="str">
        <x:v>Extra skill points</x:v>
      </x:c>
      <x:c r="K132" s="24" t="str">
        <x:v>Progressive</x:v>
      </x:c>
      <x:c r="L132" s="24" t="str">
        <x:v>Series attested; individual tasks unavailable</x:v>
      </x:c>
      <x:c r="M132" s="24" t="str">
        <x:v>No (descriptive)</x:v>
      </x:c>
      <x:c r="N132" s="24" t="str">
        <x:v>Do not interpret this grouped entry as one specific task.</x:v>
      </x:c>
      <x:c r="O132" s="24" t="str">
        <x:v>https://www.reddit.com/r/DurangoWildLands/comments/cocnny</x:v>
      </x:c>
    </x:row>
    <x:row r="133" ht="30" customHeight="1">
      <x:c r="A133" s="24" t="str">
        <x:v>DW-T0129</x:v>
      </x:c>
      <x:c r="B133" s="24" t="str">
        <x:v>Career / construction tasks</x:v>
      </x:c>
      <x:c r="C133" s="24" t="str">
        <x:v>Rank III Leather Outfits</x:v>
      </x:c>
      <x:c r="D133" s="24" t="str">
        <x:v>Tailoring</x:v>
      </x:c>
      <x:c r="E133" s="24" t="str">
        <x:v>Career Guide</x:v>
      </x:c>
      <x:c r="F133" s="24" t="str">
        <x:v>Reach rank III making leather outfits.</x:v>
      </x:c>
      <x:c r="G133" s="24" t="str">
        <x:v>Leather Outfits</x:v>
      </x:c>
      <x:c r="H133" s="26" t="n">
        <x:v>3</x:v>
      </x:c>
      <x:c r="I133" s="26"/>
      <x:c r="J133" s="24" t="str">
        <x:v>Career reward; title/bonus may vary</x:v>
      </x:c>
      <x:c r="K133" s="24" t="str">
        <x:v>One-time</x:v>
      </x:c>
      <x:c r="L133" s="24" t="str">
        <x:v>Requirement attested; exact milestone uncertain</x:v>
      </x:c>
      <x:c r="M133" s="24" t="str">
        <x:v>No (descriptive)</x:v>
      </x:c>
      <x:c r="N133" s="24" t="str">
        <x:v>Example cited in a contemporary review, not tied to a specific named career guide.</x:v>
      </x:c>
      <x:c r="O133" s="24" t="str">
        <x:v>https://www.mmorpg.com/columns/durango-wild-lands-review-big-things-do-come-in-small-packages-2000108364</x:v>
      </x:c>
    </x:row>
    <x:row r="134" ht="30" customHeight="1">
      <x:c r="A134" s="24" t="str">
        <x:v>DW-T0130</x:v>
      </x:c>
      <x:c r="B134" s="24" t="str">
        <x:v>Events / special quests</x:v>
      </x:c>
      <x:c r="C134" s="24" t="str">
        <x:v>Trainee Rescue Worker</x:v>
      </x:c>
      <x:c r="D134" s="24" t="str">
        <x:v>Lifeline event</x:v>
      </x:c>
      <x:c r="E134" s="24" t="str">
        <x:v>Limited event / title</x:v>
      </x:c>
      <x:c r="F134" s="24" t="str">
        <x:v>Complete a Lifeline support mission as a backup agent</x:v>
      </x:c>
      <x:c r="G134" s="24" t="str"/>
      <x:c r="H134" s="26"/>
      <x:c r="I134" s="26"/>
      <x:c r="J134" s="24" t="str">
        <x:v>Title 'Trainee Rescue Worker' / 10 WIL title attribute</x:v>
      </x:c>
      <x:c r="K134" s="24" t="str">
        <x:v>Limited / one-time</x:v>
      </x:c>
      <x:c r="L134" s="24" t="str">
        <x:v>Named event reward &amp; description</x:v>
      </x:c>
      <x:c r="M134" s="24" t="str">
        <x:v>Yes</x:v>
      </x:c>
      <x:c r="N134" s="24" t="str">
        <x:v>The mastersheet lists a title associated with the quest, not a complete quest objective chain.</x:v>
      </x:c>
      <x:c r="O134" s="24" t="str">
        <x:v>https://www.scribd.com/document/501357601/Durango-Wildlands-Mastersheet</x:v>
      </x:c>
    </x:row>
    <x:row r="135" ht="30" customHeight="1">
      <x:c r="A135" s="24" t="str">
        <x:v>DW-T0131</x:v>
      </x:c>
      <x:c r="B135" s="24" t="str">
        <x:v>Events / special quests</x:v>
      </x:c>
      <x:c r="C135" s="24" t="str">
        <x:v>Veteran Rescue Worker</x:v>
      </x:c>
      <x:c r="D135" s="24" t="str">
        <x:v>Lifeline event</x:v>
      </x:c>
      <x:c r="E135" s="24" t="str">
        <x:v>Limited event / title</x:v>
      </x:c>
      <x:c r="F135" s="24" t="str">
        <x:v>Complete a Lifeline rescue mission as a field agent</x:v>
      </x:c>
      <x:c r="G135" s="24" t="str"/>
      <x:c r="H135" s="26"/>
      <x:c r="I135" s="26"/>
      <x:c r="J135" s="24" t="str">
        <x:v>Title 'Veteran Rescue Worker' / 15 WIL title attribute</x:v>
      </x:c>
      <x:c r="K135" s="24" t="str">
        <x:v>Limited / one-time</x:v>
      </x:c>
      <x:c r="L135" s="24" t="str">
        <x:v>Named event reward &amp; description</x:v>
      </x:c>
      <x:c r="M135" s="24" t="str">
        <x:v>Yes</x:v>
      </x:c>
      <x:c r="N135" s="24" t="str">
        <x:v>The mastersheet lists a title associated with the quest, not a complete quest objective chain.</x:v>
      </x:c>
      <x:c r="O135" s="24" t="str">
        <x:v>https://www.scribd.com/document/501357601/Durango-Wildlands-Mastersheet</x:v>
      </x:c>
    </x:row>
    <x:row r="136" ht="30" customHeight="1">
      <x:c r="A136" s="24" t="str">
        <x:v>DW-T0132</x:v>
      </x:c>
      <x:c r="B136" s="24" t="str">
        <x:v>Events / special quests</x:v>
      </x:c>
      <x:c r="C136" s="24" t="str">
        <x:v>Lifeline Leader</x:v>
      </x:c>
      <x:c r="D136" s="24" t="str">
        <x:v>Lifeline event</x:v>
      </x:c>
      <x:c r="E136" s="24" t="str">
        <x:v>Limited event / title</x:v>
      </x:c>
      <x:c r="F136" s="24" t="str">
        <x:v>Complete a Lifeline classified intelligence mission</x:v>
      </x:c>
      <x:c r="G136" s="24" t="str"/>
      <x:c r="H136" s="26"/>
      <x:c r="I136" s="26"/>
      <x:c r="J136" s="24" t="str">
        <x:v>Title 'Lifeline Leader' / 23 WIL title attribute</x:v>
      </x:c>
      <x:c r="K136" s="24" t="str">
        <x:v>Limited / one-time</x:v>
      </x:c>
      <x:c r="L136" s="24" t="str">
        <x:v>Named event reward &amp; description</x:v>
      </x:c>
      <x:c r="M136" s="24" t="str">
        <x:v>Yes</x:v>
      </x:c>
      <x:c r="N136" s="24" t="str">
        <x:v>The mastersheet lists a title associated with the quest, not a complete quest objective chain.</x:v>
      </x:c>
      <x:c r="O136" s="24" t="str">
        <x:v>https://www.scribd.com/document/501357601/Durango-Wildlands-Mastersheet</x:v>
      </x:c>
    </x:row>
    <x:row r="137" ht="30" customHeight="1">
      <x:c r="A137" s="24" t="str">
        <x:v>DW-T0133</x:v>
      </x:c>
      <x:c r="B137" s="24" t="str">
        <x:v>Events / special quests</x:v>
      </x:c>
      <x:c r="C137" s="24" t="str">
        <x:v>Allosaurus Hunter</x:v>
      </x:c>
      <x:c r="D137" s="24" t="str">
        <x:v>Special event</x:v>
      </x:c>
      <x:c r="E137" s="24" t="str">
        <x:v>Limited event / title</x:v>
      </x:c>
      <x:c r="F137" s="24" t="str">
        <x:v>Hunt an Allosaurus and save the enemy (source phrasing)</x:v>
      </x:c>
      <x:c r="G137" s="24" t="str"/>
      <x:c r="H137" s="26"/>
      <x:c r="I137" s="26"/>
      <x:c r="J137" s="24" t="str">
        <x:v>Title 'Allosaurus Hunter' / Latent/rare attribute rate +0.2 title bonus</x:v>
      </x:c>
      <x:c r="K137" s="24" t="str">
        <x:v>Limited / one-time</x:v>
      </x:c>
      <x:c r="L137" s="24" t="str">
        <x:v>Named event reward &amp; description</x:v>
      </x:c>
      <x:c r="M137" s="24" t="str">
        <x:v>Yes</x:v>
      </x:c>
      <x:c r="N137" s="24" t="str">
        <x:v>The mastersheet lists a title associated with the quest, not a complete quest objective chain.</x:v>
      </x:c>
      <x:c r="O137" s="24" t="str">
        <x:v>https://www.scribd.com/document/501357601/Durango-Wildlands-Mastersheet</x:v>
      </x:c>
    </x:row>
    <x:row r="138" ht="30" customHeight="1">
      <x:c r="A138" s="24" t="str">
        <x:v>DW-T0134</x:v>
      </x:c>
      <x:c r="B138" s="24" t="str">
        <x:v>Events / special quests</x:v>
      </x:c>
      <x:c r="C138" s="24" t="str">
        <x:v>Christmas event quests [series]</x:v>
      </x:c>
      <x:c r="D138" s="24" t="str">
        <x:v>Seasonal</x:v>
      </x:c>
      <x:c r="E138" s="24" t="str">
        <x:v>Christmas event</x:v>
      </x:c>
      <x:c r="F138" s="24" t="str">
        <x:v>Participate in time-limited Christmas quests; names not recovered.</x:v>
      </x:c>
      <x:c r="G138" s="24"/>
      <x:c r="H138" s="26"/>
      <x:c r="I138" s="26"/>
      <x:c r="J138" s="24" t="str">
        <x:v>Seasonal rewards (unknown)</x:v>
      </x:c>
      <x:c r="K138" s="24" t="str">
        <x:v>Seasonal</x:v>
      </x:c>
      <x:c r="L138" s="24" t="str">
        <x:v>Event system sourced; task list missing</x:v>
      </x:c>
      <x:c r="M138" s="24" t="str">
        <x:v>No (descriptive)</x:v>
      </x:c>
      <x:c r="N138" s="24" t="str">
        <x:v>Event referenced in 2017 beta; not enumerated.</x:v>
      </x:c>
      <x:c r="O138" s="24" t="str">
        <x:v>https://m.inven.co.kr/webzine/wznews.php?idx=191476&amp;iskin=durango</x:v>
      </x:c>
    </x:row>
    <x:row r="139" ht="30" customHeight="1">
      <x:c r="A139" s="24" t="str">
        <x:v>DW-T0135</x:v>
      </x:c>
      <x:c r="B139" s="24" t="str">
        <x:v>Endgame story</x:v>
      </x:c>
      <x:c r="C139" s="24" t="str">
        <x:v>Final storyline [8 quests]</x:v>
      </x:c>
      <x:c r="D139" s="24" t="str">
        <x:v>Main story</x:v>
      </x:c>
      <x:c r="E139" s="24" t="str">
        <x:v>Nov–Dec 2019</x:v>
      </x:c>
      <x:c r="F139" s="24" t="str">
        <x:v>Complete the eight-part finale featuring K and X; separate chapter names unverified.</x:v>
      </x:c>
      <x:c r="G139" s="24" t="str">
        <x:v>Storyline</x:v>
      </x:c>
      <x:c r="H139" s="26" t="n">
        <x:v>8</x:v>
      </x:c>
      <x:c r="I139" s="26"/>
      <x:c r="J139" s="24" t="str">
        <x:v>Final-story narrative (specific item rewards unknown)</x:v>
      </x:c>
      <x:c r="K139" s="24" t="str">
        <x:v>One-time</x:v>
      </x:c>
      <x:c r="L139" s="24" t="str">
        <x:v>8-quest count verified; titles not recovered</x:v>
      </x:c>
      <x:c r="M139" s="24" t="str">
        <x:v>No (descriptive)</x:v>
      </x:c>
      <x:c r="N139" s="24" t="str">
        <x:v>Grouped placeholder, not eight invented separate quest records.</x:v>
      </x:c>
      <x:c r="O139" s="24" t="str">
        <x:v>https://www.inven.co.kr/webzine/news/?game=5137&amp;iskin=mini&amp;news=257238</x:v>
      </x:c>
    </x:row>
    <x:row r="140" ht="30" customHeight="1">
      <x:c r="A140" s="24" t="str">
        <x:v>DW-T0136</x:v>
      </x:c>
      <x:c r="B140" s="24" t="str">
        <x:v>Events / special quests</x:v>
      </x:c>
      <x:c r="C140" s="24" t="str">
        <x:v>Final-story side quests [series]</x:v>
      </x:c>
      <x:c r="D140" s="24" t="str">
        <x:v>Side story</x:v>
      </x:c>
      <x:c r="E140" s="24" t="str">
        <x:v>Nov–Dec 2019</x:v>
      </x:c>
      <x:c r="F140" s="24" t="str">
        <x:v>Optional narrative side quests covering developers' stories and Durango history.</x:v>
      </x:c>
      <x:c r="G140" s="24" t="str">
        <x:v>Side stories</x:v>
      </x:c>
      <x:c r="H140" s="26"/>
      <x:c r="I140" s="26"/>
      <x:c r="J140" s="24" t="str">
        <x:v>Unknown</x:v>
      </x:c>
      <x:c r="K140" s="24" t="str">
        <x:v>Limited story event</x:v>
      </x:c>
      <x:c r="L140" s="24" t="str">
        <x:v>Side-quest system sourced; names unavailable</x:v>
      </x:c>
      <x:c r="M140" s="24" t="str">
        <x:v>No (descriptive)</x:v>
      </x:c>
      <x:c r="N140" s="24" t="str">
        <x:v>Used the daily-quest system as a technical base.</x:v>
      </x:c>
      <x:c r="O140" s="24" t="str">
        <x:v>https://www.inven.co.kr/webzine/news/?game=5137&amp;iskin=mini&amp;news=257238</x:v>
      </x:c>
    </x:row>
    <x:row r="141" ht="30" customHeight="1">
      <x:c r="A141" s="24" t="str">
        <x:v>DW-T0137</x:v>
      </x:c>
      <x:c r="B141" s="24" t="str">
        <x:v>In-game achievements</x:v>
      </x:c>
      <x:c r="C141" s="24" t="str">
        <x:v>Gather 1,000 Level-60 minerals</x:v>
      </x:c>
      <x:c r="D141" s="24" t="str">
        <x:v>Gathering</x:v>
      </x:c>
      <x:c r="E141" s="24" t="str">
        <x:v>Tasks &gt; Achievements</x:v>
      </x:c>
      <x:c r="F141" s="24" t="str">
        <x:v>Gather 1,000 minerals at material Lv. 60.</x:v>
      </x:c>
      <x:c r="G141" s="24" t="str">
        <x:v>Level-60 minerals</x:v>
      </x:c>
      <x:c r="H141" s="26" t="n">
        <x:v>1000</x:v>
      </x:c>
      <x:c r="I141" s="26" t="n">
        <x:v>60</x:v>
      </x:c>
      <x:c r="J141" s="24" t="str">
        <x:v>+1 Skill Point (player report)</x:v>
      </x:c>
      <x:c r="K141" s="24" t="str">
        <x:v>Long-term</x:v>
      </x:c>
      <x:c r="L141" s="24" t="str">
        <x:v>Specific player report; title unverified</x:v>
      </x:c>
      <x:c r="M141" s="24" t="str">
        <x:v>No (descriptive)</x:v>
      </x:c>
      <x:c r="N141" s="24" t="str">
        <x:v>Do not confuse with Google Play achievements.</x:v>
      </x:c>
      <x:c r="O141" s="24" t="str">
        <x:v>https://www.reddit.com/r/DurangoWildLands/comments/cocnny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db9df9e8f9e849e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2" hidden="0" customWidth="1"/>
    <x:col min="4" max="4" width="29" hidden="0" customWidth="1"/>
    <x:col min="5" max="5" width="25" hidden="0" customWidth="1"/>
    <x:col min="6" max="6" width="52" hidden="0" customWidth="1"/>
    <x:col min="7" max="7" width="36" hidden="0" customWidth="1"/>
    <x:col min="8" max="8" width="9" hidden="0" customWidth="1"/>
    <x:col min="9" max="9" width="15" hidden="0" customWidth="1"/>
    <x:col min="10" max="10" width="54" hidden="0" customWidth="1"/>
    <x:col min="11" max="11" width="22" hidden="0" customWidth="1"/>
    <x:col min="12" max="12" width="40" hidden="0" customWidth="1"/>
    <x:col min="13" max="13" width="22" hidden="0" customWidth="1"/>
    <x:col min="14" max="14" width="60" hidden="0" customWidth="1"/>
    <x:col min="15" max="15" width="50" hidden="0" customWidth="1"/>
  </x:cols>
  <x:sheetData>
    <x:row r="1" ht="38" customHeight="1">
      <x:c r="A1" s="4" t="str">
        <x:v>FACTION MISSIONS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10" t="str">
        <x:v>42 entries | distinct from the other task systems | sourced attributes are not SP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28" customHeight="1">
      <x:c r="A4" s="17" t="str">
        <x:v>ID</x:v>
      </x:c>
      <x:c r="B4" s="17" t="str">
        <x:v>System</x:v>
      </x:c>
      <x:c r="C4" s="17" t="str">
        <x:v>Task / title</x:v>
      </x:c>
      <x:c r="D4" s="17" t="str">
        <x:v>Faction / path</x:v>
      </x:c>
      <x:c r="E4" s="17" t="str">
        <x:v>Island / context</x:v>
      </x:c>
      <x:c r="F4" s="17" t="str">
        <x:v>Objective / requirement</x:v>
      </x:c>
      <x:c r="G4" s="17" t="str">
        <x:v>Target item / enemy</x:v>
      </x:c>
      <x:c r="H4" s="17" t="str">
        <x:v>Qty</x:v>
      </x:c>
      <x:c r="I4" s="17" t="str">
        <x:v>Min item Lv.</x:v>
      </x:c>
      <x:c r="J4" s="17" t="str">
        <x:v>Rewards / effects</x:v>
      </x:c>
      <x:c r="K4" s="17" t="str">
        <x:v>Recurrence</x:v>
      </x:c>
      <x:c r="L4" s="17" t="str">
        <x:v>Evidence</x:v>
      </x:c>
      <x:c r="M4" s="17" t="str">
        <x:v>Official task name?</x:v>
      </x:c>
      <x:c r="N4" s="17" t="str">
        <x:v>Research notes</x:v>
      </x:c>
      <x:c r="O4" s="17" t="str">
        <x:v>Source URL</x:v>
      </x:c>
    </x:row>
    <x:row r="5" ht="30" customHeight="1">
      <x:c r="A5" s="24" t="str">
        <x:v>DW-T0001</x:v>
      </x:c>
      <x:c r="B5" s="24" t="str">
        <x:v>Communication missions</x:v>
      </x:c>
      <x:c r="C5" s="24" t="str">
        <x:v>Feeding the Hungry</x:v>
      </x:c>
      <x:c r="D5" s="24" t="str">
        <x:v>The Company</x:v>
      </x:c>
      <x:c r="E5" s="24" t="str">
        <x:v>Tundra Lv. 60</x:v>
      </x:c>
      <x:c r="F5" s="24" t="str">
        <x:v>Deliver prepared food</x:v>
      </x:c>
      <x:c r="G5" s="24" t="str">
        <x:v>Meat Dumplings</x:v>
      </x:c>
      <x:c r="H5" s="24" t="n">
        <x:v>6</x:v>
      </x:c>
      <x:c r="I5" s="24" t="n">
        <x:v>40</x:v>
      </x:c>
      <x:c r="J5" s="24" t="str">
        <x:v>T-Stones, EXP, faction trust (exact amount unknown)</x:v>
      </x:c>
      <x:c r="K5" s="24" t="str">
        <x:v>Repeatable / randomized</x:v>
      </x:c>
      <x:c r="L5" s="24" t="str">
        <x:v>Named &amp; sourced</x:v>
      </x:c>
      <x:c r="M5" s="24" t="str">
        <x:v>Yes</x:v>
      </x:c>
      <x:c r="N5" s="24" t="str"/>
      <x:c r="O5" s="24" t="str">
        <x:v>https://www.scribd.com/document/501357601/Durango-Wildlands-Mastersheet</x:v>
      </x:c>
    </x:row>
    <x:row r="6" ht="30" customHeight="1">
      <x:c r="A6" s="24" t="str">
        <x:v>DW-T0002</x:v>
      </x:c>
      <x:c r="B6" s="24" t="str">
        <x:v>Communication missions</x:v>
      </x:c>
      <x:c r="C6" s="24" t="str">
        <x:v>Pot Luck</x:v>
      </x:c>
      <x:c r="D6" s="24" t="str">
        <x:v>The Company</x:v>
      </x:c>
      <x:c r="E6" s="24" t="str">
        <x:v>Tundra Lv. 60</x:v>
      </x:c>
      <x:c r="F6" s="24" t="str">
        <x:v>Deliver crafted vessels</x:v>
      </x:c>
      <x:c r="G6" s="24" t="str">
        <x:v>Pot</x:v>
      </x:c>
      <x:c r="H6" s="24" t="n">
        <x:v>2</x:v>
      </x:c>
      <x:c r="I6" s="24" t="n">
        <x:v>40</x:v>
      </x:c>
      <x:c r="J6" s="24" t="str">
        <x:v>T-Stones, EXP, faction trust (exact amount unknown)</x:v>
      </x:c>
      <x:c r="K6" s="24" t="str">
        <x:v>Repeatable / randomized</x:v>
      </x:c>
      <x:c r="L6" s="24" t="str">
        <x:v>Named &amp; sourced</x:v>
      </x:c>
      <x:c r="M6" s="24" t="str">
        <x:v>Yes</x:v>
      </x:c>
      <x:c r="N6" s="24" t="str"/>
      <x:c r="O6" s="24" t="str">
        <x:v>https://www.scribd.com/document/501357601/Durango-Wildlands-Mastersheet</x:v>
      </x:c>
    </x:row>
    <x:row r="7" ht="30" customHeight="1">
      <x:c r="A7" s="24" t="str">
        <x:v>DW-T0003</x:v>
      </x:c>
      <x:c r="B7" s="24" t="str">
        <x:v>Communication missions</x:v>
      </x:c>
      <x:c r="C7" s="24" t="str">
        <x:v>A Fire in Need</x:v>
      </x:c>
      <x:c r="D7" s="24" t="str">
        <x:v>The Company</x:v>
      </x:c>
      <x:c r="E7" s="24" t="str">
        <x:v>Tundra Lv. 60</x:v>
      </x:c>
      <x:c r="F7" s="24" t="str">
        <x:v>Make and deliver fuel</x:v>
      </x:c>
      <x:c r="G7" s="24" t="str">
        <x:v>Charcoal</x:v>
      </x:c>
      <x:c r="H7" s="24" t="n">
        <x:v>10</x:v>
      </x:c>
      <x:c r="I7" s="24" t="n">
        <x:v>40</x:v>
      </x:c>
      <x:c r="J7" s="24" t="str">
        <x:v>T-Stones, EXP, faction trust (exact amount unknown)</x:v>
      </x:c>
      <x:c r="K7" s="24" t="str">
        <x:v>Repeatable / randomized</x:v>
      </x:c>
      <x:c r="L7" s="24" t="str">
        <x:v>Named &amp; sourced</x:v>
      </x:c>
      <x:c r="M7" s="24" t="str">
        <x:v>Yes</x:v>
      </x:c>
      <x:c r="N7" s="24" t="str"/>
      <x:c r="O7" s="24" t="str">
        <x:v>https://www.scribd.com/document/501357601/Durango-Wildlands-Mastersheet</x:v>
      </x:c>
    </x:row>
    <x:row r="8" ht="30" customHeight="1">
      <x:c r="A8" s="24" t="str">
        <x:v>DW-T0004</x:v>
      </x:c>
      <x:c r="B8" s="24" t="str">
        <x:v>Communication missions</x:v>
      </x:c>
      <x:c r="C8" s="24" t="str">
        <x:v>Hanging by the Strong Thread</x:v>
      </x:c>
      <x:c r="D8" s="24" t="str">
        <x:v>The Company</x:v>
      </x:c>
      <x:c r="E8" s="24" t="str">
        <x:v>Tundra Lv. 60</x:v>
      </x:c>
      <x:c r="F8" s="24" t="str">
        <x:v>Deliver strong/quality thread</x:v>
      </x:c>
      <x:c r="G8" s="24" t="str">
        <x:v>Quality Thread / Strong Thread</x:v>
      </x:c>
      <x:c r="H8" s="24" t="n">
        <x:v>6</x:v>
      </x:c>
      <x:c r="I8" s="24" t="n">
        <x:v>40</x:v>
      </x:c>
      <x:c r="J8" s="24" t="str">
        <x:v>T-Stones, EXP, faction trust (exact amount unknown)</x:v>
      </x:c>
      <x:c r="K8" s="24" t="str">
        <x:v>Repeatable / randomized</x:v>
      </x:c>
      <x:c r="L8" s="24" t="str">
        <x:v>Named &amp; sourced</x:v>
      </x:c>
      <x:c r="M8" s="24" t="str">
        <x:v>Yes</x:v>
      </x:c>
      <x:c r="N8" s="24" t="str"/>
      <x:c r="O8" s="24" t="str">
        <x:v>https://www.scribd.com/document/501357601/Durango-Wildlands-Mastersheet</x:v>
      </x:c>
    </x:row>
    <x:row r="9" ht="30" customHeight="1">
      <x:c r="A9" s="24" t="str">
        <x:v>DW-T0005</x:v>
      </x:c>
      <x:c r="B9" s="24" t="str">
        <x:v>Communication missions</x:v>
      </x:c>
      <x:c r="C9" s="24" t="str">
        <x:v>Graduating Alum</x:v>
      </x:c>
      <x:c r="D9" s="24" t="str">
        <x:v>The Company</x:v>
      </x:c>
      <x:c r="E9" s="24" t="str">
        <x:v>Tundra Lv. 60</x:v>
      </x:c>
      <x:c r="F9" s="24" t="str">
        <x:v>Deliver processing reagent</x:v>
      </x:c>
      <x:c r="G9" s="24" t="str">
        <x:v>Alum</x:v>
      </x:c>
      <x:c r="H9" s="24" t="n">
        <x:v>3</x:v>
      </x:c>
      <x:c r="I9" s="24" t="n">
        <x:v>45</x:v>
      </x:c>
      <x:c r="J9" s="24" t="str">
        <x:v>T-Stones, EXP, faction trust (exact amount unknown)</x:v>
      </x:c>
      <x:c r="K9" s="24" t="str">
        <x:v>Repeatable / randomized</x:v>
      </x:c>
      <x:c r="L9" s="24" t="str">
        <x:v>Named &amp; sourced</x:v>
      </x:c>
      <x:c r="M9" s="24" t="str">
        <x:v>Yes</x:v>
      </x:c>
      <x:c r="N9" s="24" t="str"/>
      <x:c r="O9" s="24" t="str">
        <x:v>https://www.scribd.com/document/501357601/Durango-Wildlands-Mastersheet</x:v>
      </x:c>
    </x:row>
    <x:row r="10" ht="30" customHeight="1">
      <x:c r="A10" s="24" t="str">
        <x:v>DW-T0006</x:v>
      </x:c>
      <x:c r="B10" s="24" t="str">
        <x:v>Communication missions</x:v>
      </x:c>
      <x:c r="C10" s="24" t="str">
        <x:v>Sap for It to Me</x:v>
      </x:c>
      <x:c r="D10" s="24" t="str">
        <x:v>Chlorophyll Forum</x:v>
      </x:c>
      <x:c r="E10" s="24" t="str">
        <x:v>Tundra Lv. 60</x:v>
      </x:c>
      <x:c r="F10" s="24" t="str">
        <x:v>Harvest sap</x:v>
      </x:c>
      <x:c r="G10" s="24" t="str">
        <x:v>Red Fir Sap</x:v>
      </x:c>
      <x:c r="H10" s="24" t="n">
        <x:v>3</x:v>
      </x:c>
      <x:c r="I10" s="24" t="n">
        <x:v>45</x:v>
      </x:c>
      <x:c r="J10" s="24" t="str">
        <x:v>T-Stones, EXP, faction trust (exact amount unknown)</x:v>
      </x:c>
      <x:c r="K10" s="24" t="str">
        <x:v>Repeatable / randomized</x:v>
      </x:c>
      <x:c r="L10" s="24" t="str">
        <x:v>Named &amp; sourced</x:v>
      </x:c>
      <x:c r="M10" s="24" t="str">
        <x:v>Yes</x:v>
      </x:c>
      <x:c r="N10" s="24" t="str">
        <x:v>Punctuation/capitalization normalized</x:v>
      </x:c>
      <x:c r="O10" s="24" t="str">
        <x:v>https://www.scribd.com/document/501357601/Durango-Wildlands-Mastersheet</x:v>
      </x:c>
    </x:row>
    <x:row r="11" ht="30" customHeight="1">
      <x:c r="A11" s="24" t="str">
        <x:v>DW-T0007</x:v>
      </x:c>
      <x:c r="B11" s="24" t="str">
        <x:v>Communication missions</x:v>
      </x:c>
      <x:c r="C11" s="24" t="str">
        <x:v>The Cranberries Are Back</x:v>
      </x:c>
      <x:c r="D11" s="24" t="str">
        <x:v>Chlorophyll Forum</x:v>
      </x:c>
      <x:c r="E11" s="24" t="str">
        <x:v>Tundra Lv. 60</x:v>
      </x:c>
      <x:c r="F11" s="24" t="str">
        <x:v>Harvest berries</x:v>
      </x:c>
      <x:c r="G11" s="24" t="str">
        <x:v>Cranberry</x:v>
      </x:c>
      <x:c r="H11" s="24" t="n">
        <x:v>3</x:v>
      </x:c>
      <x:c r="I11" s="24" t="n">
        <x:v>45</x:v>
      </x:c>
      <x:c r="J11" s="24" t="str">
        <x:v>T-Stones, EXP, faction trust (exact amount unknown)</x:v>
      </x:c>
      <x:c r="K11" s="24" t="str">
        <x:v>Repeatable / randomized</x:v>
      </x:c>
      <x:c r="L11" s="24" t="str">
        <x:v>Named &amp; sourced</x:v>
      </x:c>
      <x:c r="M11" s="24" t="str">
        <x:v>Yes</x:v>
      </x:c>
      <x:c r="N11" s="24" t="str"/>
      <x:c r="O11" s="24" t="str">
        <x:v>https://www.scribd.com/document/501357601/Durango-Wildlands-Mastersheet</x:v>
      </x:c>
    </x:row>
    <x:row r="12" ht="30" customHeight="1">
      <x:c r="A12" s="24" t="str">
        <x:v>DW-T0008</x:v>
      </x:c>
      <x:c r="B12" s="24" t="str">
        <x:v>Communication missions</x:v>
      </x:c>
      <x:c r="C12" s="24" t="str">
        <x:v>Blowing Cotton</x:v>
      </x:c>
      <x:c r="D12" s="24" t="str">
        <x:v>Chlorophyll Forum</x:v>
      </x:c>
      <x:c r="E12" s="24" t="str">
        <x:v>Tundra Lv. 60</x:v>
      </x:c>
      <x:c r="F12" s="24" t="str">
        <x:v>Collect fibers</x:v>
      </x:c>
      <x:c r="G12" s="24" t="str">
        <x:v>Cotton</x:v>
      </x:c>
      <x:c r="H12" s="24" t="n">
        <x:v>3</x:v>
      </x:c>
      <x:c r="I12" s="24" t="n">
        <x:v>45</x:v>
      </x:c>
      <x:c r="J12" s="24" t="str">
        <x:v>T-Stones, EXP, faction trust (exact amount unknown)</x:v>
      </x:c>
      <x:c r="K12" s="24" t="str">
        <x:v>Repeatable / randomized</x:v>
      </x:c>
      <x:c r="L12" s="24" t="str">
        <x:v>Named &amp; sourced</x:v>
      </x:c>
      <x:c r="M12" s="24" t="str">
        <x:v>Yes</x:v>
      </x:c>
      <x:c r="N12" s="24" t="str"/>
      <x:c r="O12" s="24" t="str">
        <x:v>https://www.scribd.com/document/501357601/Durango-Wildlands-Mastersheet</x:v>
      </x:c>
    </x:row>
    <x:row r="13" ht="30" customHeight="1">
      <x:c r="A13" s="24" t="str">
        <x:v>DW-T0009</x:v>
      </x:c>
      <x:c r="B13" s="24" t="str">
        <x:v>Communication missions</x:v>
      </x:c>
      <x:c r="C13" s="24" t="str">
        <x:v>Fungus Research</x:v>
      </x:c>
      <x:c r="D13" s="24" t="str">
        <x:v>Chlorophyll Forum</x:v>
      </x:c>
      <x:c r="E13" s="24" t="str">
        <x:v>Tundra Lv. 60</x:v>
      </x:c>
      <x:c r="F13" s="24" t="str">
        <x:v>Collect mushrooms</x:v>
      </x:c>
      <x:c r="G13" s="24" t="str">
        <x:v>Mushroom</x:v>
      </x:c>
      <x:c r="H13" s="24" t="n">
        <x:v>3</x:v>
      </x:c>
      <x:c r="I13" s="24" t="n">
        <x:v>45</x:v>
      </x:c>
      <x:c r="J13" s="24" t="str">
        <x:v>T-Stones, EXP, faction trust (exact amount unknown)</x:v>
      </x:c>
      <x:c r="K13" s="24" t="str">
        <x:v>Repeatable / randomized</x:v>
      </x:c>
      <x:c r="L13" s="24" t="str">
        <x:v>Named &amp; sourced</x:v>
      </x:c>
      <x:c r="M13" s="24" t="str">
        <x:v>Yes</x:v>
      </x:c>
      <x:c r="N13" s="24" t="str"/>
      <x:c r="O13" s="24" t="str">
        <x:v>https://www.scribd.com/document/501357601/Durango-Wildlands-Mastersheet</x:v>
      </x:c>
    </x:row>
    <x:row r="14" ht="30" customHeight="1">
      <x:c r="A14" s="24" t="str">
        <x:v>DW-T0010</x:v>
      </x:c>
      <x:c r="B14" s="24" t="str">
        <x:v>Communication missions</x:v>
      </x:c>
      <x:c r="C14" s="24" t="str">
        <x:v>Modern Parthenon</x:v>
      </x:c>
      <x:c r="D14" s="24" t="str">
        <x:v>Frontier Coalition</x:v>
      </x:c>
      <x:c r="E14" s="24" t="str">
        <x:v>Tundra Lv. 60</x:v>
      </x:c>
      <x:c r="F14" s="24" t="str">
        <x:v>Craft/deliver building components</x:v>
      </x:c>
      <x:c r="G14" s="24" t="str">
        <x:v>Stone Pillar</x:v>
      </x:c>
      <x:c r="H14" s="24" t="n">
        <x:v>6</x:v>
      </x:c>
      <x:c r="I14" s="24" t="n">
        <x:v>40</x:v>
      </x:c>
      <x:c r="J14" s="24" t="str">
        <x:v>T-Stones, EXP, faction trust (exact amount unknown)</x:v>
      </x:c>
      <x:c r="K14" s="24" t="str">
        <x:v>Repeatable / randomized</x:v>
      </x:c>
      <x:c r="L14" s="24" t="str">
        <x:v>Named &amp; sourced</x:v>
      </x:c>
      <x:c r="M14" s="24" t="str">
        <x:v>Yes</x:v>
      </x:c>
      <x:c r="N14" s="24" t="str"/>
      <x:c r="O14" s="24" t="str">
        <x:v>https://www.scribd.com/document/501357601/Durango-Wildlands-Mastersheet</x:v>
      </x:c>
    </x:row>
    <x:row r="15" ht="30" customHeight="1">
      <x:c r="A15" s="24" t="str">
        <x:v>DW-T0011</x:v>
      </x:c>
      <x:c r="B15" s="24" t="str">
        <x:v>Communication missions</x:v>
      </x:c>
      <x:c r="C15" s="24" t="str">
        <x:v>Lucky Leather</x:v>
      </x:c>
      <x:c r="D15" s="24" t="str">
        <x:v>Frontier Coalition</x:v>
      </x:c>
      <x:c r="E15" s="24" t="str">
        <x:v>Tundra Lv. 60</x:v>
      </x:c>
      <x:c r="F15" s="24" t="str">
        <x:v>Make/deliver leather components</x:v>
      </x:c>
      <x:c r="G15" s="24" t="str">
        <x:v>Leather Strap</x:v>
      </x:c>
      <x:c r="H15" s="24" t="n">
        <x:v>6</x:v>
      </x:c>
      <x:c r="I15" s="24" t="n">
        <x:v>40</x:v>
      </x:c>
      <x:c r="J15" s="24" t="str">
        <x:v>T-Stones, EXP, faction trust (exact amount unknown)</x:v>
      </x:c>
      <x:c r="K15" s="24" t="str">
        <x:v>Repeatable / randomized</x:v>
      </x:c>
      <x:c r="L15" s="24" t="str">
        <x:v>Named &amp; sourced</x:v>
      </x:c>
      <x:c r="M15" s="24" t="str">
        <x:v>Yes</x:v>
      </x:c>
      <x:c r="N15" s="24" t="str"/>
      <x:c r="O15" s="24" t="str">
        <x:v>https://www.scribd.com/document/501357601/Durango-Wildlands-Mastersheet</x:v>
      </x:c>
    </x:row>
    <x:row r="16" ht="30" customHeight="1">
      <x:c r="A16" s="24" t="str">
        <x:v>DW-T0012</x:v>
      </x:c>
      <x:c r="B16" s="24" t="str">
        <x:v>Communication missions</x:v>
      </x:c>
      <x:c r="C16" s="24" t="str">
        <x:v>Nailing Up the Foundation</x:v>
      </x:c>
      <x:c r="D16" s="24" t="str">
        <x:v>Frontier Coalition</x:v>
      </x:c>
      <x:c r="E16" s="24" t="str">
        <x:v>Tundra Lv. 60</x:v>
      </x:c>
      <x:c r="F16" s="24" t="str">
        <x:v>Craft/deliver building fasteners</x:v>
      </x:c>
      <x:c r="G16" s="24" t="str">
        <x:v>Nail</x:v>
      </x:c>
      <x:c r="H16" s="24" t="n">
        <x:v>10</x:v>
      </x:c>
      <x:c r="I16" s="24" t="n">
        <x:v>40</x:v>
      </x:c>
      <x:c r="J16" s="24" t="str">
        <x:v>T-Stones, EXP, faction trust (exact amount unknown)</x:v>
      </x:c>
      <x:c r="K16" s="24" t="str">
        <x:v>Repeatable / randomized</x:v>
      </x:c>
      <x:c r="L16" s="24" t="str">
        <x:v>Named &amp; sourced</x:v>
      </x:c>
      <x:c r="M16" s="24" t="str">
        <x:v>Yes</x:v>
      </x:c>
      <x:c r="N16" s="24" t="str"/>
      <x:c r="O16" s="24" t="str">
        <x:v>https://www.scribd.com/document/501357601/Durango-Wildlands-Mastersheet</x:v>
      </x:c>
    </x:row>
    <x:row r="17" ht="30" customHeight="1">
      <x:c r="A17" s="24" t="str">
        <x:v>DW-T0013</x:v>
      </x:c>
      <x:c r="B17" s="24" t="str">
        <x:v>Communication missions</x:v>
      </x:c>
      <x:c r="C17" s="24" t="str">
        <x:v>Reaching the Ceiling</x:v>
      </x:c>
      <x:c r="D17" s="24" t="str">
        <x:v>Frontier Coalition</x:v>
      </x:c>
      <x:c r="E17" s="24" t="str">
        <x:v>Tundra Lv. 60</x:v>
      </x:c>
      <x:c r="F17" s="24" t="str">
        <x:v>Supply roofing components</x:v>
      </x:c>
      <x:c r="G17" s="24" t="str">
        <x:v>Roof Material</x:v>
      </x:c>
      <x:c r="H17" s="24" t="n">
        <x:v>5</x:v>
      </x:c>
      <x:c r="I17" s="24" t="n">
        <x:v>40</x:v>
      </x:c>
      <x:c r="J17" s="24" t="str">
        <x:v>T-Stones, EXP, faction trust (exact amount unknown)</x:v>
      </x:c>
      <x:c r="K17" s="24" t="str">
        <x:v>Repeatable / randomized</x:v>
      </x:c>
      <x:c r="L17" s="24" t="str">
        <x:v>Named &amp; sourced</x:v>
      </x:c>
      <x:c r="M17" s="24" t="str">
        <x:v>Yes</x:v>
      </x:c>
      <x:c r="N17" s="24" t="str">
        <x:v>Mastersheet misspells Ceilling</x:v>
      </x:c>
      <x:c r="O17" s="24" t="str">
        <x:v>https://www.scribd.com/document/501357601/Durango-Wildlands-Mastersheet</x:v>
      </x:c>
    </x:row>
    <x:row r="18" ht="30" customHeight="1">
      <x:c r="A18" s="24" t="str">
        <x:v>DW-T0014</x:v>
      </x:c>
      <x:c r="B18" s="24" t="str">
        <x:v>Communication missions</x:v>
      </x:c>
      <x:c r="C18" s="24" t="str">
        <x:v>Overcomplications</x:v>
      </x:c>
      <x:c r="D18" s="24" t="str">
        <x:v>The Committee</x:v>
      </x:c>
      <x:c r="E18" s="24" t="str">
        <x:v>Tundra Lv. 60</x:v>
      </x:c>
      <x:c r="F18" s="24" t="str">
        <x:v>Hunt target and deliver part</x:v>
      </x:c>
      <x:c r="G18" s="24" t="str">
        <x:v>Direwolf Cub Meat</x:v>
      </x:c>
      <x:c r="H18" s="24" t="n">
        <x:v>1</x:v>
      </x:c>
      <x:c r="I18" s="24" t="n">
        <x:v>45</x:v>
      </x:c>
      <x:c r="J18" s="24" t="str">
        <x:v>T-Stones, EXP, faction trust (exact amount unknown)</x:v>
      </x:c>
      <x:c r="K18" s="24" t="str">
        <x:v>Repeatable / randomized</x:v>
      </x:c>
      <x:c r="L18" s="24" t="str">
        <x:v>Named &amp; sourced</x:v>
      </x:c>
      <x:c r="M18" s="24" t="str">
        <x:v>Yes</x:v>
      </x:c>
      <x:c r="N18" s="24" t="str"/>
      <x:c r="O18" s="24" t="str">
        <x:v>https://www.scribd.com/document/501357601/Durango-Wildlands-Mastersheet</x:v>
      </x:c>
    </x:row>
    <x:row r="19" ht="30" customHeight="1">
      <x:c r="A19" s="24" t="str">
        <x:v>DW-T0015</x:v>
      </x:c>
      <x:c r="B19" s="24" t="str">
        <x:v>Communication missions</x:v>
      </x:c>
      <x:c r="C19" s="24" t="str">
        <x:v>No Hesitation</x:v>
      </x:c>
      <x:c r="D19" s="24" t="str">
        <x:v>The Committee</x:v>
      </x:c>
      <x:c r="E19" s="24" t="str">
        <x:v>Tundra Lv. 60</x:v>
      </x:c>
      <x:c r="F19" s="24" t="str">
        <x:v>Hunt target and deliver part</x:v>
      </x:c>
      <x:c r="G19" s="24" t="str">
        <x:v>Coelophysis Small Skull</x:v>
      </x:c>
      <x:c r="H19" s="24" t="n">
        <x:v>1</x:v>
      </x:c>
      <x:c r="I19" s="24" t="n">
        <x:v>45</x:v>
      </x:c>
      <x:c r="J19" s="24" t="str">
        <x:v>T-Stones, EXP, faction trust (exact amount unknown)</x:v>
      </x:c>
      <x:c r="K19" s="24" t="str">
        <x:v>Repeatable / randomized</x:v>
      </x:c>
      <x:c r="L19" s="24" t="str">
        <x:v>Named &amp; sourced</x:v>
      </x:c>
      <x:c r="M19" s="24" t="str">
        <x:v>Yes</x:v>
      </x:c>
      <x:c r="N19" s="24" t="str"/>
      <x:c r="O19" s="24" t="str">
        <x:v>https://www.scribd.com/document/501357601/Durango-Wildlands-Mastersheet</x:v>
      </x:c>
    </x:row>
    <x:row r="20" ht="30" customHeight="1">
      <x:c r="A20" s="24" t="str">
        <x:v>DW-T0016</x:v>
      </x:c>
      <x:c r="B20" s="24" t="str">
        <x:v>Communication missions</x:v>
      </x:c>
      <x:c r="C20" s="24" t="str">
        <x:v>The Centrosaurus of Theseus</x:v>
      </x:c>
      <x:c r="D20" s="24" t="str">
        <x:v>The Committee</x:v>
      </x:c>
      <x:c r="E20" s="24" t="str">
        <x:v>Tundra Lv. 60</x:v>
      </x:c>
      <x:c r="F20" s="24" t="str">
        <x:v>Hunt target and deliver part</x:v>
      </x:c>
      <x:c r="G20" s="24" t="str">
        <x:v>Centrosaurus Leg Bone</x:v>
      </x:c>
      <x:c r="H20" s="24" t="n">
        <x:v>1</x:v>
      </x:c>
      <x:c r="I20" s="24" t="n">
        <x:v>45</x:v>
      </x:c>
      <x:c r="J20" s="24" t="str">
        <x:v>T-Stones, EXP, faction trust (exact amount unknown)</x:v>
      </x:c>
      <x:c r="K20" s="24" t="str">
        <x:v>Repeatable / randomized</x:v>
      </x:c>
      <x:c r="L20" s="24" t="str">
        <x:v>Named &amp; sourced</x:v>
      </x:c>
      <x:c r="M20" s="24" t="str">
        <x:v>Yes</x:v>
      </x:c>
      <x:c r="N20" s="24" t="str"/>
      <x:c r="O20" s="24" t="str">
        <x:v>https://www.scribd.com/document/501357601/Durango-Wildlands-Mastersheet</x:v>
      </x:c>
    </x:row>
    <x:row r="21" ht="30" customHeight="1">
      <x:c r="A21" s="24" t="str">
        <x:v>DW-T0017</x:v>
      </x:c>
      <x:c r="B21" s="24" t="str">
        <x:v>Communication missions</x:v>
      </x:c>
      <x:c r="C21" s="24" t="str">
        <x:v>The Danger of Vanity</x:v>
      </x:c>
      <x:c r="D21" s="24" t="str">
        <x:v>The Committee</x:v>
      </x:c>
      <x:c r="E21" s="24" t="str">
        <x:v>Tundra Lv. 60</x:v>
      </x:c>
      <x:c r="F21" s="24" t="str">
        <x:v>Hunt target and deliver part</x:v>
      </x:c>
      <x:c r="G21" s="24" t="str">
        <x:v>Ornithomimus Feather</x:v>
      </x:c>
      <x:c r="H21" s="24" t="n">
        <x:v>1</x:v>
      </x:c>
      <x:c r="I21" s="24" t="n">
        <x:v>45</x:v>
      </x:c>
      <x:c r="J21" s="24" t="str">
        <x:v>T-Stones, EXP, faction trust (exact amount unknown)</x:v>
      </x:c>
      <x:c r="K21" s="24" t="str">
        <x:v>Repeatable / randomized</x:v>
      </x:c>
      <x:c r="L21" s="24" t="str">
        <x:v>Named &amp; sourced</x:v>
      </x:c>
      <x:c r="M21" s="24" t="str">
        <x:v>Yes</x:v>
      </x:c>
      <x:c r="N21" s="24" t="str"/>
      <x:c r="O21" s="24" t="str">
        <x:v>https://www.scribd.com/document/501357601/Durango-Wildlands-Mastersheet</x:v>
      </x:c>
    </x:row>
    <x:row r="22" ht="30" customHeight="1">
      <x:c r="A22" s="24" t="str">
        <x:v>DW-T0018</x:v>
      </x:c>
      <x:c r="B22" s="24" t="str">
        <x:v>Communication missions</x:v>
      </x:c>
      <x:c r="C22" s="24" t="str">
        <x:v>Hunt a male Megaloceros [title missing]</x:v>
      </x:c>
      <x:c r="D22" s="24" t="str">
        <x:v>The Committee</x:v>
      </x:c>
      <x:c r="E22" s="24" t="str">
        <x:v>Tundra Lv. 60</x:v>
      </x:c>
      <x:c r="F22" s="24" t="str">
        <x:v>Hunt target and collect horn</x:v>
      </x:c>
      <x:c r="G22" s="24" t="str">
        <x:v>Male Megaloceros Horn</x:v>
      </x:c>
      <x:c r="H22" s="24" t="n">
        <x:v>1</x:v>
      </x:c>
      <x:c r="I22" s="24" t="n">
        <x:v>45</x:v>
      </x:c>
      <x:c r="J22" s="24" t="str">
        <x:v>T-Stones, EXP, trust</x:v>
      </x:c>
      <x:c r="K22" s="24" t="str">
        <x:v>Repeatable / randomized</x:v>
      </x:c>
      <x:c r="L22" s="24" t="str">
        <x:v>Objective sourced; title unavailable</x:v>
      </x:c>
      <x:c r="M22" s="24" t="str">
        <x:v>No (descriptive)</x:v>
      </x:c>
      <x:c r="N22" s="24" t="str">
        <x:v>Source contains the objective but not a distinct mission title</x:v>
      </x:c>
      <x:c r="O22" s="24" t="str">
        <x:v>https://www.scribd.com/document/501357601/Durango-Wildlands-Mastersheet</x:v>
      </x:c>
    </x:row>
    <x:row r="23" ht="30" customHeight="1">
      <x:c r="A23" s="24" t="str">
        <x:v>DW-T0019</x:v>
      </x:c>
      <x:c r="B23" s="24" t="str">
        <x:v>Communication missions</x:v>
      </x:c>
      <x:c r="C23" s="24" t="str">
        <x:v>Cold and Savage</x:v>
      </x:c>
      <x:c r="D23" s="24" t="str">
        <x:v>The Company</x:v>
      </x:c>
      <x:c r="E23" s="24" t="str">
        <x:v>Snowfield Lv. 60</x:v>
      </x:c>
      <x:c r="F23" s="24" t="str">
        <x:v>Deliver repair materials</x:v>
      </x:c>
      <x:c r="G23" s="24" t="str">
        <x:v>Building Repair Kit</x:v>
      </x:c>
      <x:c r="H23" s="24" t="n">
        <x:v>4</x:v>
      </x:c>
      <x:c r="I23" s="24" t="n">
        <x:v>40</x:v>
      </x:c>
      <x:c r="J23" s="24" t="str">
        <x:v>T-Stones, EXP, faction trust (exact amount unknown)</x:v>
      </x:c>
      <x:c r="K23" s="24" t="str">
        <x:v>Repeatable / randomized</x:v>
      </x:c>
      <x:c r="L23" s="24" t="str">
        <x:v>Named &amp; sourced</x:v>
      </x:c>
      <x:c r="M23" s="24" t="str">
        <x:v>Yes</x:v>
      </x:c>
      <x:c r="N23" s="24" t="str"/>
      <x:c r="O23" s="24" t="str">
        <x:v>https://www.scribd.com/document/501357601/Durango-Wildlands-Mastersheet</x:v>
      </x:c>
    </x:row>
    <x:row r="24" ht="30" customHeight="1">
      <x:c r="A24" s="24" t="str">
        <x:v>DW-T0020</x:v>
      </x:c>
      <x:c r="B24" s="24" t="str">
        <x:v>Communication missions</x:v>
      </x:c>
      <x:c r="C24" s="24" t="str">
        <x:v>Oily Obligation</x:v>
      </x:c>
      <x:c r="D24" s="24" t="str">
        <x:v>The Company</x:v>
      </x:c>
      <x:c r="E24" s="24" t="str">
        <x:v>Snowfield Lv. 60</x:v>
      </x:c>
      <x:c r="F24" s="24" t="str">
        <x:v>Deliver oil-bearing liquids</x:v>
      </x:c>
      <x:c r="G24" s="24" t="str">
        <x:v>Oily Liquid items</x:v>
      </x:c>
      <x:c r="H24" s="24" t="n">
        <x:v>3</x:v>
      </x:c>
      <x:c r="I24" s="24" t="n">
        <x:v>40</x:v>
      </x:c>
      <x:c r="J24" s="24" t="str">
        <x:v>T-Stones, EXP, faction trust (exact amount unknown)</x:v>
      </x:c>
      <x:c r="K24" s="24" t="str">
        <x:v>Repeatable / randomized</x:v>
      </x:c>
      <x:c r="L24" s="24" t="str">
        <x:v>Named &amp; sourced</x:v>
      </x:c>
      <x:c r="M24" s="24" t="str">
        <x:v>Yes</x:v>
      </x:c>
      <x:c r="N24" s="24" t="str"/>
      <x:c r="O24" s="24" t="str">
        <x:v>https://www.scribd.com/document/501357601/Durango-Wildlands-Mastersheet</x:v>
      </x:c>
    </x:row>
    <x:row r="25" ht="30" customHeight="1">
      <x:c r="A25" s="24" t="str">
        <x:v>DW-T0021</x:v>
      </x:c>
      <x:c r="B25" s="24" t="str">
        <x:v>Communication missions</x:v>
      </x:c>
      <x:c r="C25" s="24" t="str">
        <x:v>From the Floor to the Grave</x:v>
      </x:c>
      <x:c r="D25" s="24" t="str">
        <x:v>The Company</x:v>
      </x:c>
      <x:c r="E25" s="24" t="str">
        <x:v>Snowfield Lv. 60</x:v>
      </x:c>
      <x:c r="F25" s="24" t="str">
        <x:v>Deliver construction components</x:v>
      </x:c>
      <x:c r="G25" s="24" t="str">
        <x:v>Floor Material</x:v>
      </x:c>
      <x:c r="H25" s="24" t="n">
        <x:v>5</x:v>
      </x:c>
      <x:c r="I25" s="24" t="n">
        <x:v>40</x:v>
      </x:c>
      <x:c r="J25" s="24" t="str">
        <x:v>T-Stones, EXP, faction trust (exact amount unknown)</x:v>
      </x:c>
      <x:c r="K25" s="24" t="str">
        <x:v>Repeatable / randomized</x:v>
      </x:c>
      <x:c r="L25" s="24" t="str">
        <x:v>Named &amp; sourced</x:v>
      </x:c>
      <x:c r="M25" s="24" t="str">
        <x:v>Yes</x:v>
      </x:c>
      <x:c r="N25" s="24" t="str"/>
      <x:c r="O25" s="24" t="str">
        <x:v>https://www.scribd.com/document/501357601/Durango-Wildlands-Mastersheet</x:v>
      </x:c>
    </x:row>
    <x:row r="26" ht="30" customHeight="1">
      <x:c r="A26" s="24" t="str">
        <x:v>DW-T0022</x:v>
      </x:c>
      <x:c r="B26" s="24" t="str">
        <x:v>Communication missions</x:v>
      </x:c>
      <x:c r="C26" s="24" t="str">
        <x:v>Baby, It's Cold Outside</x:v>
      </x:c>
      <x:c r="D26" s="24" t="str">
        <x:v>The Company</x:v>
      </x:c>
      <x:c r="E26" s="24" t="str">
        <x:v>Snowfield Lv. 60</x:v>
      </x:c>
      <x:c r="F26" s="24" t="str">
        <x:v>Deliver construction components</x:v>
      </x:c>
      <x:c r="G26" s="24" t="str">
        <x:v>Wall Material</x:v>
      </x:c>
      <x:c r="H26" s="24" t="n">
        <x:v>4</x:v>
      </x:c>
      <x:c r="I26" s="24" t="n">
        <x:v>35</x:v>
      </x:c>
      <x:c r="J26" s="24" t="str">
        <x:v>T-Stones, EXP, faction trust (exact amount unknown)</x:v>
      </x:c>
      <x:c r="K26" s="24" t="str">
        <x:v>Repeatable / randomized</x:v>
      </x:c>
      <x:c r="L26" s="24" t="str">
        <x:v>Named &amp; sourced</x:v>
      </x:c>
      <x:c r="M26" s="24" t="str">
        <x:v>Yes</x:v>
      </x:c>
      <x:c r="N26" s="24" t="str"/>
      <x:c r="O26" s="24" t="str">
        <x:v>https://www.scribd.com/document/501357601/Durango-Wildlands-Mastersheet</x:v>
      </x:c>
    </x:row>
    <x:row r="27" ht="30" customHeight="1">
      <x:c r="A27" s="24" t="str">
        <x:v>DW-T0023</x:v>
      </x:c>
      <x:c r="B27" s="24" t="str">
        <x:v>Communication missions</x:v>
      </x:c>
      <x:c r="C27" s="24" t="str">
        <x:v>Fantasies of Farming</x:v>
      </x:c>
      <x:c r="D27" s="24" t="str">
        <x:v>The Company</x:v>
      </x:c>
      <x:c r="E27" s="24" t="str">
        <x:v>Snowfield Lv. 60</x:v>
      </x:c>
      <x:c r="F27" s="24" t="str">
        <x:v>Deliver farming tools</x:v>
      </x:c>
      <x:c r="G27" s="24" t="str">
        <x:v>Hoes</x:v>
      </x:c>
      <x:c r="H27" s="24"/>
      <x:c r="I27" s="24" t="n">
        <x:v>40</x:v>
      </x:c>
      <x:c r="J27" s="24" t="str">
        <x:v>T-Stones, EXP, faction trust (exact amount unknown)</x:v>
      </x:c>
      <x:c r="K27" s="24" t="str">
        <x:v>Repeatable / randomized</x:v>
      </x:c>
      <x:c r="L27" s="24" t="str">
        <x:v>Named &amp; sourced</x:v>
      </x:c>
      <x:c r="M27" s="24" t="str">
        <x:v>Yes</x:v>
      </x:c>
      <x:c r="N27" s="24" t="str">
        <x:v>Requested quantity unreadable in source</x:v>
      </x:c>
      <x:c r="O27" s="24" t="str">
        <x:v>https://www.scribd.com/document/501357601/Durango-Wildlands-Mastersheet</x:v>
      </x:c>
    </x:row>
    <x:row r="28" ht="30" customHeight="1">
      <x:c r="A28" s="24" t="str">
        <x:v>DW-T0024</x:v>
      </x:c>
      <x:c r="B28" s="24" t="str">
        <x:v>Communication missions</x:v>
      </x:c>
      <x:c r="C28" s="24" t="str">
        <x:v>The Cranberries Are Back</x:v>
      </x:c>
      <x:c r="D28" s="24" t="str">
        <x:v>Chlorophyll Forum</x:v>
      </x:c>
      <x:c r="E28" s="24" t="str">
        <x:v>Snowfield Lv. 60</x:v>
      </x:c>
      <x:c r="F28" s="24" t="str">
        <x:v>Collect berries</x:v>
      </x:c>
      <x:c r="G28" s="24" t="str">
        <x:v>Cranberry</x:v>
      </x:c>
      <x:c r="H28" s="24" t="n">
        <x:v>3</x:v>
      </x:c>
      <x:c r="I28" s="24" t="n">
        <x:v>45</x:v>
      </x:c>
      <x:c r="J28" s="24" t="str">
        <x:v>T-Stones, EXP, faction trust (exact amount unknown)</x:v>
      </x:c>
      <x:c r="K28" s="24" t="str">
        <x:v>Repeatable / randomized</x:v>
      </x:c>
      <x:c r="L28" s="24" t="str">
        <x:v>Named &amp; sourced</x:v>
      </x:c>
      <x:c r="M28" s="24" t="str">
        <x:v>Yes</x:v>
      </x:c>
      <x:c r="N28" s="24" t="str">
        <x:v>Same mission name appears in more than one biome</x:v>
      </x:c>
      <x:c r="O28" s="24" t="str">
        <x:v>https://www.scribd.com/document/501357601/Durango-Wildlands-Mastersheet</x:v>
      </x:c>
    </x:row>
    <x:row r="29" ht="30" customHeight="1">
      <x:c r="A29" s="24" t="str">
        <x:v>DW-T0025</x:v>
      </x:c>
      <x:c r="B29" s="24" t="str">
        <x:v>Communication missions</x:v>
      </x:c>
      <x:c r="C29" s="24" t="str">
        <x:v>Lucky Wolf's Leg</x:v>
      </x:c>
      <x:c r="D29" s="24" t="str">
        <x:v>The Committee (tentative)</x:v>
      </x:c>
      <x:c r="E29" s="24" t="str">
        <x:v>Snowfield Lv. 60</x:v>
      </x:c>
      <x:c r="F29" s="24" t="str">
        <x:v>Hunt target and collect bone</x:v>
      </x:c>
      <x:c r="G29" s="24" t="str">
        <x:v>Direwolf Leg Bone</x:v>
      </x:c>
      <x:c r="H29" s="24" t="n">
        <x:v>1</x:v>
      </x:c>
      <x:c r="I29" s="24" t="n">
        <x:v>45</x:v>
      </x:c>
      <x:c r="J29" s="24" t="str">
        <x:v>T-Stones, EXP, faction trust (exact amount unknown)</x:v>
      </x:c>
      <x:c r="K29" s="24" t="str">
        <x:v>Repeatable / randomized</x:v>
      </x:c>
      <x:c r="L29" s="24" t="str">
        <x:v>Named; faction tentative</x:v>
      </x:c>
      <x:c r="M29" s="24" t="str">
        <x:v>Yes</x:v>
      </x:c>
      <x:c r="N29" s="24" t="str">
        <x:v>Faction column partially garbled in extraction</x:v>
      </x:c>
      <x:c r="O29" s="24" t="str">
        <x:v>https://www.scribd.com/document/501357601/Durango-Wildlands-Mastersheet</x:v>
      </x:c>
    </x:row>
    <x:row r="30" ht="30" customHeight="1">
      <x:c r="A30" s="24" t="str">
        <x:v>DW-T0026</x:v>
      </x:c>
      <x:c r="B30" s="24" t="str">
        <x:v>Communication missions</x:v>
      </x:c>
      <x:c r="C30" s="24" t="str">
        <x:v>Apex Predator</x:v>
      </x:c>
      <x:c r="D30" s="24" t="str">
        <x:v>The Committee (tentative)</x:v>
      </x:c>
      <x:c r="E30" s="24" t="str">
        <x:v>Snowfield Lv. 60</x:v>
      </x:c>
      <x:c r="F30" s="24" t="str">
        <x:v>Hunt target and deliver meat</x:v>
      </x:c>
      <x:c r="G30" s="24" t="str">
        <x:v>Sabertooth Meat</x:v>
      </x:c>
      <x:c r="H30" s="24" t="n">
        <x:v>1</x:v>
      </x:c>
      <x:c r="I30" s="24" t="n">
        <x:v>45</x:v>
      </x:c>
      <x:c r="J30" s="24" t="str">
        <x:v>T-Stones, EXP, faction trust (exact amount unknown)</x:v>
      </x:c>
      <x:c r="K30" s="24" t="str">
        <x:v>Repeatable / randomized</x:v>
      </x:c>
      <x:c r="L30" s="24" t="str">
        <x:v>Named; faction tentative</x:v>
      </x:c>
      <x:c r="M30" s="24" t="str">
        <x:v>Yes</x:v>
      </x:c>
      <x:c r="N30" s="24" t="str">
        <x:v>Faction position partially garbled</x:v>
      </x:c>
      <x:c r="O30" s="24" t="str">
        <x:v>https://www.scribd.com/document/501357601/Durango-Wildlands-Mastersheet</x:v>
      </x:c>
    </x:row>
    <x:row r="31" ht="30" customHeight="1">
      <x:c r="A31" s="24" t="str">
        <x:v>DW-T0027</x:v>
      </x:c>
      <x:c r="B31" s="24" t="str">
        <x:v>Communication missions</x:v>
      </x:c>
      <x:c r="C31" s="24" t="str">
        <x:v>Happy New Year</x:v>
      </x:c>
      <x:c r="D31" s="24" t="str">
        <x:v>The Committee (tentative)</x:v>
      </x:c>
      <x:c r="E31" s="24" t="str">
        <x:v>Snowfield Lv. 60</x:v>
      </x:c>
      <x:c r="F31" s="24" t="str">
        <x:v>Capture a male Megaloceros</x:v>
      </x:c>
      <x:c r="G31" s="24" t="str">
        <x:v>Male Megaloceros</x:v>
      </x:c>
      <x:c r="H31" s="24" t="n">
        <x:v>1</x:v>
      </x:c>
      <x:c r="I31" s="24" t="n">
        <x:v>45</x:v>
      </x:c>
      <x:c r="J31" s="24" t="str">
        <x:v>T-Stones, EXP, faction trust (exact amount unknown)</x:v>
      </x:c>
      <x:c r="K31" s="24" t="str">
        <x:v>Repeatable / randomized</x:v>
      </x:c>
      <x:c r="L31" s="24" t="str">
        <x:v>Named; faction tentative</x:v>
      </x:c>
      <x:c r="M31" s="24" t="str">
        <x:v>Yes</x:v>
      </x:c>
      <x:c r="N31" s="24" t="str">
        <x:v>Item level may not apply to capture task</x:v>
      </x:c>
      <x:c r="O31" s="24" t="str">
        <x:v>https://www.scribd.com/document/501357601/Durango-Wildlands-Mastersheet</x:v>
      </x:c>
    </x:row>
    <x:row r="32" ht="30" customHeight="1">
      <x:c r="A32" s="24" t="str">
        <x:v>DW-T0028</x:v>
      </x:c>
      <x:c r="B32" s="24" t="str">
        <x:v>Communication missions</x:v>
      </x:c>
      <x:c r="C32" s="24" t="str">
        <x:v>Hunt a mammoth [title missing]</x:v>
      </x:c>
      <x:c r="D32" s="24" t="str">
        <x:v>The Committee (tentative)</x:v>
      </x:c>
      <x:c r="E32" s="24" t="str">
        <x:v>Snowfield Lv. 60</x:v>
      </x:c>
      <x:c r="F32" s="24" t="str">
        <x:v>Hunt mammoth and deliver part</x:v>
      </x:c>
      <x:c r="G32" s="24" t="str">
        <x:v>Mammoth Fat</x:v>
      </x:c>
      <x:c r="H32" s="24" t="n">
        <x:v>1</x:v>
      </x:c>
      <x:c r="I32" s="24" t="n">
        <x:v>45</x:v>
      </x:c>
      <x:c r="J32" s="24" t="str">
        <x:v>T-Stones, EXP, trust</x:v>
      </x:c>
      <x:c r="K32" s="24" t="str">
        <x:v>Repeatable / randomized</x:v>
      </x:c>
      <x:c r="L32" s="24" t="str">
        <x:v>Objective sourced; title unavailable</x:v>
      </x:c>
      <x:c r="M32" s="24" t="str">
        <x:v>No (descriptive)</x:v>
      </x:c>
      <x:c r="N32" s="24" t="str">
        <x:v>Named title not legible</x:v>
      </x:c>
      <x:c r="O32" s="24" t="str">
        <x:v>https://www.scribd.com/document/501357601/Durango-Wildlands-Mastersheet</x:v>
      </x:c>
    </x:row>
    <x:row r="33" ht="30" customHeight="1">
      <x:c r="A33" s="24" t="str">
        <x:v>DW-T0029</x:v>
      </x:c>
      <x:c r="B33" s="24" t="str">
        <x:v>Communication missions</x:v>
      </x:c>
      <x:c r="C33" s="24" t="str">
        <x:v>Opportunity Cost</x:v>
      </x:c>
      <x:c r="D33" s="24" t="str">
        <x:v>The Company</x:v>
      </x:c>
      <x:c r="E33" s="24" t="str">
        <x:v>Tropical Lv. 60</x:v>
      </x:c>
      <x:c r="F33" s="24" t="str">
        <x:v>Gather shellfish</x:v>
      </x:c>
      <x:c r="G33" s="24" t="str">
        <x:v>Clam</x:v>
      </x:c>
      <x:c r="H33" s="24" t="n">
        <x:v>5</x:v>
      </x:c>
      <x:c r="I33" s="24" t="n">
        <x:v>45</x:v>
      </x:c>
      <x:c r="J33" s="24" t="str">
        <x:v>T-Stones, EXP, faction trust (exact amount unknown)</x:v>
      </x:c>
      <x:c r="K33" s="24" t="str">
        <x:v>Repeatable / randomized</x:v>
      </x:c>
      <x:c r="L33" s="24" t="str">
        <x:v>Named &amp; sourced</x:v>
      </x:c>
      <x:c r="M33" s="24" t="str">
        <x:v>Yes</x:v>
      </x:c>
      <x:c r="N33" s="24" t="str"/>
      <x:c r="O33" s="24" t="str">
        <x:v>https://www.scribd.com/document/501357601/Durango-Wildlands-Mastersheet</x:v>
      </x:c>
    </x:row>
    <x:row r="34" ht="30" customHeight="1">
      <x:c r="A34" s="24" t="str">
        <x:v>DW-T0030</x:v>
      </x:c>
      <x:c r="B34" s="24" t="str">
        <x:v>Communication missions</x:v>
      </x:c>
      <x:c r="C34" s="24" t="str">
        <x:v>It All Hinges on This</x:v>
      </x:c>
      <x:c r="D34" s="24" t="str">
        <x:v>The Company</x:v>
      </x:c>
      <x:c r="E34" s="24" t="str">
        <x:v>Tropical Lv. 60</x:v>
      </x:c>
      <x:c r="F34" s="24" t="str">
        <x:v>Make/deliver hardware</x:v>
      </x:c>
      <x:c r="G34" s="24" t="str">
        <x:v>Hinge</x:v>
      </x:c>
      <x:c r="H34" s="24" t="n">
        <x:v>8</x:v>
      </x:c>
      <x:c r="I34" s="24" t="n">
        <x:v>40</x:v>
      </x:c>
      <x:c r="J34" s="24" t="str">
        <x:v>T-Stones, EXP, faction trust (exact amount unknown)</x:v>
      </x:c>
      <x:c r="K34" s="24" t="str">
        <x:v>Repeatable / randomized</x:v>
      </x:c>
      <x:c r="L34" s="24" t="str">
        <x:v>Named &amp; sourced</x:v>
      </x:c>
      <x:c r="M34" s="24" t="str">
        <x:v>Yes</x:v>
      </x:c>
      <x:c r="N34" s="24" t="str"/>
      <x:c r="O34" s="24" t="str">
        <x:v>https://www.scribd.com/document/501357601/Durango-Wildlands-Mastersheet</x:v>
      </x:c>
    </x:row>
    <x:row r="35" ht="30" customHeight="1">
      <x:c r="A35" s="24" t="str">
        <x:v>DW-T0031</x:v>
      </x:c>
      <x:c r="B35" s="24" t="str">
        <x:v>Communication missions</x:v>
      </x:c>
      <x:c r="C35" s="24" t="str">
        <x:v>Coconut Rut</x:v>
      </x:c>
      <x:c r="D35" s="24" t="str">
        <x:v>The Company</x:v>
      </x:c>
      <x:c r="E35" s="24" t="str">
        <x:v>Tropical Lv. 60</x:v>
      </x:c>
      <x:c r="F35" s="24" t="str">
        <x:v>Gather fruit</x:v>
      </x:c>
      <x:c r="G35" s="24" t="str">
        <x:v>Coconut</x:v>
      </x:c>
      <x:c r="H35" s="24" t="n">
        <x:v>4</x:v>
      </x:c>
      <x:c r="I35" s="24" t="n">
        <x:v>45</x:v>
      </x:c>
      <x:c r="J35" s="24" t="str">
        <x:v>T-Stones, EXP, faction trust (exact amount unknown)</x:v>
      </x:c>
      <x:c r="K35" s="24" t="str">
        <x:v>Repeatable / randomized</x:v>
      </x:c>
      <x:c r="L35" s="24" t="str">
        <x:v>Named &amp; sourced</x:v>
      </x:c>
      <x:c r="M35" s="24" t="str">
        <x:v>Yes</x:v>
      </x:c>
      <x:c r="N35" s="24" t="str"/>
      <x:c r="O35" s="24" t="str">
        <x:v>https://www.scribd.com/document/501357601/Durango-Wildlands-Mastersheet</x:v>
      </x:c>
    </x:row>
    <x:row r="36" ht="30" customHeight="1">
      <x:c r="A36" s="24" t="str">
        <x:v>DW-T0032</x:v>
      </x:c>
      <x:c r="B36" s="24" t="str">
        <x:v>Communication missions</x:v>
      </x:c>
      <x:c r="C36" s="24" t="str">
        <x:v>Tool for Fixing Tool</x:v>
      </x:c>
      <x:c r="D36" s="24" t="str">
        <x:v>The Company</x:v>
      </x:c>
      <x:c r="E36" s="24" t="str">
        <x:v>Tropical Lv. 60</x:v>
      </x:c>
      <x:c r="F36" s="24" t="str">
        <x:v>Deliver tool repairs</x:v>
      </x:c>
      <x:c r="G36" s="24" t="str">
        <x:v>Tool Repair Kit</x:v>
      </x:c>
      <x:c r="H36" s="24" t="n">
        <x:v>4</x:v>
      </x:c>
      <x:c r="I36" s="24" t="n">
        <x:v>40</x:v>
      </x:c>
      <x:c r="J36" s="24" t="str">
        <x:v>T-Stones, EXP, faction trust (exact amount unknown)</x:v>
      </x:c>
      <x:c r="K36" s="24" t="str">
        <x:v>Repeatable / randomized</x:v>
      </x:c>
      <x:c r="L36" s="24" t="str">
        <x:v>Named &amp; sourced</x:v>
      </x:c>
      <x:c r="M36" s="24" t="str">
        <x:v>Yes</x:v>
      </x:c>
      <x:c r="N36" s="24" t="str"/>
      <x:c r="O36" s="24" t="str">
        <x:v>https://www.scribd.com/document/501357601/Durango-Wildlands-Mastersheet</x:v>
      </x:c>
    </x:row>
    <x:row r="37" ht="30" customHeight="1">
      <x:c r="A37" s="24" t="str">
        <x:v>DW-T0033</x:v>
      </x:c>
      <x:c r="B37" s="24" t="str">
        <x:v>Communication missions</x:v>
      </x:c>
      <x:c r="C37" s="24" t="str">
        <x:v>It's Crab All the Way Down</x:v>
      </x:c>
      <x:c r="D37" s="24" t="str">
        <x:v>Faction unclear</x:v>
      </x:c>
      <x:c r="E37" s="24" t="str">
        <x:v>Tropical Lv. 60</x:v>
      </x:c>
      <x:c r="F37" s="24" t="str">
        <x:v>Hunt/collect crabs</x:v>
      </x:c>
      <x:c r="G37" s="24" t="str">
        <x:v>Coconut Crab</x:v>
      </x:c>
      <x:c r="H37" s="24" t="n">
        <x:v>3</x:v>
      </x:c>
      <x:c r="I37" s="24" t="n">
        <x:v>40</x:v>
      </x:c>
      <x:c r="J37" s="24" t="str">
        <x:v>T-Stones, EXP, faction trust (exact amount unknown)</x:v>
      </x:c>
      <x:c r="K37" s="24" t="str">
        <x:v>Repeatable / randomized</x:v>
      </x:c>
      <x:c r="L37" s="24" t="str">
        <x:v>Named; faction unclear</x:v>
      </x:c>
      <x:c r="M37" s="24" t="str">
        <x:v>Yes</x:v>
      </x:c>
      <x:c r="N37" s="24" t="str">
        <x:v>Exact faction unclear from rendered table</x:v>
      </x:c>
      <x:c r="O37" s="24" t="str">
        <x:v>https://www.scribd.com/document/501357601/Durango-Wildlands-Mastersheet</x:v>
      </x:c>
    </x:row>
    <x:row r="38" ht="30" customHeight="1">
      <x:c r="A38" s="24" t="str">
        <x:v>DW-T0034</x:v>
      </x:c>
      <x:c r="B38" s="24" t="str">
        <x:v>Communication missions</x:v>
      </x:c>
      <x:c r="C38" s="24" t="str">
        <x:v>Community Service</x:v>
      </x:c>
      <x:c r="D38" s="24" t="str">
        <x:v>Faction unclear</x:v>
      </x:c>
      <x:c r="E38" s="24" t="str">
        <x:v>Tropical Lv. 60</x:v>
      </x:c>
      <x:c r="F38" s="24" t="str">
        <x:v>Collect litter</x:v>
      </x:c>
      <x:c r="G38" s="24" t="str">
        <x:v>Plastic Bag</x:v>
      </x:c>
      <x:c r="H38" s="24" t="n">
        <x:v>2</x:v>
      </x:c>
      <x:c r="I38" s="24" t="n">
        <x:v>45</x:v>
      </x:c>
      <x:c r="J38" s="24" t="str">
        <x:v>T-Stones, EXP, faction trust (exact amount unknown)</x:v>
      </x:c>
      <x:c r="K38" s="24" t="str">
        <x:v>Repeatable / randomized</x:v>
      </x:c>
      <x:c r="L38" s="24" t="str">
        <x:v>Named; faction unclear</x:v>
      </x:c>
      <x:c r="M38" s="24" t="str">
        <x:v>Yes</x:v>
      </x:c>
      <x:c r="N38" s="24" t="str">
        <x:v>Exact faction unclear from rendered table</x:v>
      </x:c>
      <x:c r="O38" s="24" t="str">
        <x:v>https://www.scribd.com/document/501357601/Durango-Wildlands-Mastersheet</x:v>
      </x:c>
    </x:row>
    <x:row r="39" ht="30" customHeight="1">
      <x:c r="A39" s="24" t="str">
        <x:v>DW-T0035</x:v>
      </x:c>
      <x:c r="B39" s="24" t="str">
        <x:v>Communication missions</x:v>
      </x:c>
      <x:c r="C39" s="24" t="str">
        <x:v>Maintaining Altitude</x:v>
      </x:c>
      <x:c r="D39" s="24" t="str">
        <x:v>The Committee (tentative)</x:v>
      </x:c>
      <x:c r="E39" s="24" t="str">
        <x:v>Tropical Lv. 60</x:v>
      </x:c>
      <x:c r="F39" s="24" t="str">
        <x:v>Hunt target and collect bone</x:v>
      </x:c>
      <x:c r="G39" s="24" t="str">
        <x:v>Light Pink Protoceratops Leg Bone</x:v>
      </x:c>
      <x:c r="H39" s="24" t="n">
        <x:v>1</x:v>
      </x:c>
      <x:c r="I39" s="24" t="n">
        <x:v>40</x:v>
      </x:c>
      <x:c r="J39" s="24" t="str">
        <x:v>T-Stones, EXP, faction trust (exact amount unknown)</x:v>
      </x:c>
      <x:c r="K39" s="24" t="str">
        <x:v>Repeatable / randomized</x:v>
      </x:c>
      <x:c r="L39" s="24" t="str">
        <x:v>Named; faction tentative</x:v>
      </x:c>
      <x:c r="M39" s="24" t="str">
        <x:v>Yes</x:v>
      </x:c>
      <x:c r="N39" s="24" t="str">
        <x:v>Faction uncertain</x:v>
      </x:c>
      <x:c r="O39" s="24" t="str">
        <x:v>https://www.scribd.com/document/501357601/Durango-Wildlands-Mastersheet</x:v>
      </x:c>
    </x:row>
    <x:row r="40" ht="30" customHeight="1">
      <x:c r="A40" s="24" t="str">
        <x:v>DW-T0036</x:v>
      </x:c>
      <x:c r="B40" s="24" t="str">
        <x:v>Communication missions</x:v>
      </x:c>
      <x:c r="C40" s="24" t="str">
        <x:v>Drink from a Mangrove</x:v>
      </x:c>
      <x:c r="D40" s="24" t="str">
        <x:v>The Company</x:v>
      </x:c>
      <x:c r="E40" s="24" t="str">
        <x:v>Swamp Lv. 60</x:v>
      </x:c>
      <x:c r="F40" s="24" t="str">
        <x:v>Gather liquid</x:v>
      </x:c>
      <x:c r="G40" s="24" t="str">
        <x:v>Mangrove's Water</x:v>
      </x:c>
      <x:c r="H40" s="24" t="n">
        <x:v>5</x:v>
      </x:c>
      <x:c r="I40" s="24" t="n">
        <x:v>40</x:v>
      </x:c>
      <x:c r="J40" s="24" t="str">
        <x:v>T-Stones, EXP, faction trust (exact amount unknown)</x:v>
      </x:c>
      <x:c r="K40" s="24" t="str">
        <x:v>Repeatable / randomized</x:v>
      </x:c>
      <x:c r="L40" s="24" t="str">
        <x:v>Named &amp; sourced</x:v>
      </x:c>
      <x:c r="M40" s="24" t="str">
        <x:v>Yes</x:v>
      </x:c>
      <x:c r="N40" s="24" t="str"/>
      <x:c r="O40" s="24" t="str">
        <x:v>https://www.scribd.com/document/501357601/Durango-Wildlands-Mastersheet</x:v>
      </x:c>
    </x:row>
    <x:row r="41" ht="30" customHeight="1">
      <x:c r="A41" s="24" t="str">
        <x:v>DW-T0037</x:v>
      </x:c>
      <x:c r="B41" s="24" t="str">
        <x:v>Communication missions</x:v>
      </x:c>
      <x:c r="C41" s="24" t="str">
        <x:v>Root: A New Way of Trading</x:v>
      </x:c>
      <x:c r="D41" s="24" t="str">
        <x:v>The Company</x:v>
      </x:c>
      <x:c r="E41" s="24" t="str">
        <x:v>Swamp Lv. 60</x:v>
      </x:c>
      <x:c r="F41" s="24" t="str">
        <x:v>Gather plant product</x:v>
      </x:c>
      <x:c r="G41" s="24" t="str">
        <x:v>Liquid Rubber</x:v>
      </x:c>
      <x:c r="H41" s="24" t="n">
        <x:v>3</x:v>
      </x:c>
      <x:c r="I41" s="24" t="n">
        <x:v>45</x:v>
      </x:c>
      <x:c r="J41" s="24" t="str">
        <x:v>T-Stones, EXP, faction trust (exact amount unknown)</x:v>
      </x:c>
      <x:c r="K41" s="24" t="str">
        <x:v>Repeatable / randomized</x:v>
      </x:c>
      <x:c r="L41" s="24" t="str">
        <x:v>Title partly reconstructed</x:v>
      </x:c>
      <x:c r="M41" s="24" t="str">
        <x:v>Yes</x:v>
      </x:c>
      <x:c r="N41" s="24" t="str">
        <x:v>Source has separated 'Root' and 'A New Way of Trading'; title reconstructed</x:v>
      </x:c>
      <x:c r="O41" s="24" t="str">
        <x:v>https://www.scribd.com/document/501357601/Durango-Wildlands-Mastersheet</x:v>
      </x:c>
    </x:row>
    <x:row r="42" ht="30" customHeight="1">
      <x:c r="A42" s="24" t="str">
        <x:v>DW-T0038</x:v>
      </x:c>
      <x:c r="B42" s="24" t="str">
        <x:v>Communication missions</x:v>
      </x:c>
      <x:c r="C42" s="24" t="str">
        <x:v>I Offer This Ring Vine</x:v>
      </x:c>
      <x:c r="D42" s="24" t="str">
        <x:v>Chlorophyll Forum (tentative)</x:v>
      </x:c>
      <x:c r="E42" s="24" t="str">
        <x:v>Swamp Lv. 60</x:v>
      </x:c>
      <x:c r="F42" s="24" t="str">
        <x:v>Gather vines</x:v>
      </x:c>
      <x:c r="G42" s="24" t="str">
        <x:v>Thick Vines</x:v>
      </x:c>
      <x:c r="H42" s="24" t="n">
        <x:v>3</x:v>
      </x:c>
      <x:c r="I42" s="24" t="n">
        <x:v>45</x:v>
      </x:c>
      <x:c r="J42" s="24" t="str">
        <x:v>T-Stones, EXP, faction trust (exact amount unknown)</x:v>
      </x:c>
      <x:c r="K42" s="24" t="str">
        <x:v>Repeatable / randomized</x:v>
      </x:c>
      <x:c r="L42" s="24" t="str">
        <x:v>Named; faction tentative</x:v>
      </x:c>
      <x:c r="M42" s="24" t="str">
        <x:v>Yes</x:v>
      </x:c>
      <x:c r="N42" s="24" t="str">
        <x:v>Faction tentative</x:v>
      </x:c>
      <x:c r="O42" s="24" t="str">
        <x:v>https://www.scribd.com/document/501357601/Durango-Wildlands-Mastersheet</x:v>
      </x:c>
    </x:row>
    <x:row r="43" ht="30" customHeight="1">
      <x:c r="A43" s="24" t="str">
        <x:v>DW-T0039</x:v>
      </x:c>
      <x:c r="B43" s="24" t="str">
        <x:v>Communication missions</x:v>
      </x:c>
      <x:c r="C43" s="24" t="str">
        <x:v>Strapped for Strap</x:v>
      </x:c>
      <x:c r="D43" s="24" t="str">
        <x:v>Frontier Coalition (tentative)</x:v>
      </x:c>
      <x:c r="E43" s="24" t="str">
        <x:v>Swamp Lv. 60</x:v>
      </x:c>
      <x:c r="F43" s="24" t="str">
        <x:v>Deliver construction ties</x:v>
      </x:c>
      <x:c r="G43" s="24" t="str">
        <x:v>Long Strap</x:v>
      </x:c>
      <x:c r="H43" s="24" t="n">
        <x:v>8</x:v>
      </x:c>
      <x:c r="I43" s="24" t="n">
        <x:v>40</x:v>
      </x:c>
      <x:c r="J43" s="24" t="str">
        <x:v>T-Stones, EXP, faction trust (exact amount unknown)</x:v>
      </x:c>
      <x:c r="K43" s="24" t="str">
        <x:v>Repeatable / randomized</x:v>
      </x:c>
      <x:c r="L43" s="24" t="str">
        <x:v>Named; faction tentative</x:v>
      </x:c>
      <x:c r="M43" s="24" t="str">
        <x:v>Yes</x:v>
      </x:c>
      <x:c r="N43" s="24" t="str">
        <x:v>Faction tentative</x:v>
      </x:c>
      <x:c r="O43" s="24" t="str">
        <x:v>https://www.scribd.com/document/501357601/Durango-Wildlands-Mastersheet</x:v>
      </x:c>
    </x:row>
    <x:row r="44" ht="30" customHeight="1">
      <x:c r="A44" s="24" t="str">
        <x:v>DW-T0040</x:v>
      </x:c>
      <x:c r="B44" s="24" t="str">
        <x:v>Communication missions</x:v>
      </x:c>
      <x:c r="C44" s="24" t="str">
        <x:v>Reaching the Ceiling</x:v>
      </x:c>
      <x:c r="D44" s="24" t="str">
        <x:v>Frontier Coalition</x:v>
      </x:c>
      <x:c r="E44" s="24" t="str">
        <x:v>Swamp Lv. 60</x:v>
      </x:c>
      <x:c r="F44" s="24" t="str">
        <x:v>Deliver roofing components</x:v>
      </x:c>
      <x:c r="G44" s="24" t="str">
        <x:v>Roof Material</x:v>
      </x:c>
      <x:c r="H44" s="24" t="n">
        <x:v>5</x:v>
      </x:c>
      <x:c r="I44" s="24" t="n">
        <x:v>40</x:v>
      </x:c>
      <x:c r="J44" s="24" t="str">
        <x:v>T-Stones, EXP, faction trust (exact amount unknown)</x:v>
      </x:c>
      <x:c r="K44" s="24" t="str">
        <x:v>Repeatable / randomized</x:v>
      </x:c>
      <x:c r="L44" s="24" t="str">
        <x:v>Named &amp; sourced</x:v>
      </x:c>
      <x:c r="M44" s="24" t="str">
        <x:v>Yes</x:v>
      </x:c>
      <x:c r="N44" s="24" t="str">
        <x:v>Same mission name appears in another climate</x:v>
      </x:c>
      <x:c r="O44" s="24" t="str">
        <x:v>https://www.scribd.com/document/501357601/Durango-Wildlands-Mastersheet</x:v>
      </x:c>
    </x:row>
    <x:row r="45" ht="30" customHeight="1">
      <x:c r="A45" s="24" t="str">
        <x:v>DW-T0041</x:v>
      </x:c>
      <x:c r="B45" s="24" t="str">
        <x:v>Communication missions</x:v>
      </x:c>
      <x:c r="C45" s="24" t="str">
        <x:v>An Interesting Hobby</x:v>
      </x:c>
      <x:c r="D45" s="24" t="str">
        <x:v>The Committee</x:v>
      </x:c>
      <x:c r="E45" s="24" t="str">
        <x:v>Swamp Lv. 60</x:v>
      </x:c>
      <x:c r="F45" s="24" t="str">
        <x:v>Hunt target and gather pelt</x:v>
      </x:c>
      <x:c r="G45" s="24" t="str">
        <x:v>Skunkodus Pelt</x:v>
      </x:c>
      <x:c r="H45" s="24" t="n">
        <x:v>1</x:v>
      </x:c>
      <x:c r="I45" s="24" t="n">
        <x:v>45</x:v>
      </x:c>
      <x:c r="J45" s="24" t="str">
        <x:v>T-Stones, EXP, faction trust (exact amount unknown)</x:v>
      </x:c>
      <x:c r="K45" s="24" t="str">
        <x:v>Repeatable / randomized</x:v>
      </x:c>
      <x:c r="L45" s="24" t="str">
        <x:v>Named &amp; sourced</x:v>
      </x:c>
      <x:c r="M45" s="24" t="str">
        <x:v>Yes</x:v>
      </x:c>
      <x:c r="N45" s="24" t="str"/>
      <x:c r="O45" s="24" t="str">
        <x:v>https://www.scribd.com/document/501357601/Durango-Wildlands-Mastersheet</x:v>
      </x:c>
    </x:row>
    <x:row r="46" ht="30" customHeight="1">
      <x:c r="A46" s="24" t="str">
        <x:v>DW-T0042</x:v>
      </x:c>
      <x:c r="B46" s="24" t="str">
        <x:v>Communication missions</x:v>
      </x:c>
      <x:c r="C46" s="24" t="str">
        <x:v>A New Plague</x:v>
      </x:c>
      <x:c r="D46" s="24" t="str">
        <x:v>The Committee</x:v>
      </x:c>
      <x:c r="E46" s="24" t="str">
        <x:v>Swamp Lv. 60</x:v>
      </x:c>
      <x:c r="F46" s="24" t="str">
        <x:v>Hunt target and gather meat</x:v>
      </x:c>
      <x:c r="G46" s="24" t="str">
        <x:v>Giant Rat Meat</x:v>
      </x:c>
      <x:c r="H46" s="24" t="n">
        <x:v>1</x:v>
      </x:c>
      <x:c r="I46" s="24" t="n">
        <x:v>45</x:v>
      </x:c>
      <x:c r="J46" s="24" t="str">
        <x:v>T-Stones, EXP, faction trust (exact amount unknown)</x:v>
      </x:c>
      <x:c r="K46" s="24" t="str">
        <x:v>Repeatable / randomized</x:v>
      </x:c>
      <x:c r="L46" s="24" t="str">
        <x:v>Named &amp; sourced</x:v>
      </x:c>
      <x:c r="M46" s="24" t="str">
        <x:v>Yes</x:v>
      </x:c>
      <x:c r="N46" s="24" t="str"/>
      <x:c r="O46" s="24" t="str">
        <x:v>https://www.scribd.com/document/501357601/Durango-Wildlands-Mastersheet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6e2617e649f5401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2" hidden="0" customWidth="1"/>
    <x:col min="4" max="4" width="29" hidden="0" customWidth="1"/>
    <x:col min="5" max="5" width="25" hidden="0" customWidth="1"/>
    <x:col min="6" max="6" width="52" hidden="0" customWidth="1"/>
    <x:col min="7" max="7" width="36" hidden="0" customWidth="1"/>
    <x:col min="8" max="8" width="9" hidden="0" customWidth="1"/>
    <x:col min="9" max="9" width="15" hidden="0" customWidth="1"/>
    <x:col min="10" max="10" width="54" hidden="0" customWidth="1"/>
    <x:col min="11" max="11" width="22" hidden="0" customWidth="1"/>
    <x:col min="12" max="12" width="40" hidden="0" customWidth="1"/>
    <x:col min="13" max="13" width="22" hidden="0" customWidth="1"/>
    <x:col min="14" max="14" width="60" hidden="0" customWidth="1"/>
    <x:col min="15" max="15" width="50" hidden="0" customWidth="1"/>
  </x:cols>
  <x:sheetData>
    <x:row r="1" ht="38" customHeight="1">
      <x:c r="A1" s="4" t="str">
        <x:v>CAREER GUIDES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10" t="str">
        <x:v>58 entries | distinct from the other task systems | sourced attributes are not SP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28" customHeight="1">
      <x:c r="A4" s="17" t="str">
        <x:v>ID</x:v>
      </x:c>
      <x:c r="B4" s="17" t="str">
        <x:v>System</x:v>
      </x:c>
      <x:c r="C4" s="17" t="str">
        <x:v>Task / title</x:v>
      </x:c>
      <x:c r="D4" s="17" t="str">
        <x:v>Faction / path</x:v>
      </x:c>
      <x:c r="E4" s="17" t="str">
        <x:v>Island / context</x:v>
      </x:c>
      <x:c r="F4" s="17" t="str">
        <x:v>Objective / requirement</x:v>
      </x:c>
      <x:c r="G4" s="17" t="str">
        <x:v>Target item / enemy</x:v>
      </x:c>
      <x:c r="H4" s="17" t="str">
        <x:v>Qty</x:v>
      </x:c>
      <x:c r="I4" s="17" t="str">
        <x:v>Min item Lv.</x:v>
      </x:c>
      <x:c r="J4" s="17" t="str">
        <x:v>Rewards / effects</x:v>
      </x:c>
      <x:c r="K4" s="17" t="str">
        <x:v>Recurrence</x:v>
      </x:c>
      <x:c r="L4" s="17" t="str">
        <x:v>Evidence</x:v>
      </x:c>
      <x:c r="M4" s="17" t="str">
        <x:v>Official task name?</x:v>
      </x:c>
      <x:c r="N4" s="17" t="str">
        <x:v>Research notes</x:v>
      </x:c>
      <x:c r="O4" s="17" t="str">
        <x:v>Source URL</x:v>
      </x:c>
    </x:row>
    <x:row r="5" ht="30" customHeight="1">
      <x:c r="A5" s="24" t="str">
        <x:v>DW-T0043</x:v>
      </x:c>
      <x:c r="B5" s="24" t="str">
        <x:v>Career guides</x:v>
      </x:c>
      <x:c r="C5" s="24" t="str">
        <x:v>Basic Hunting Tactics</x:v>
      </x:c>
      <x:c r="D5" s="24" t="str">
        <x:v>Combat / Basics</x:v>
      </x:c>
      <x:c r="E5" s="24" t="str">
        <x:v>Career Guide UI</x:v>
      </x:c>
      <x:c r="F5" s="24" t="str">
        <x:v>Complete the matching Career Guide skill-learning checklist; individual requirements mostly unarchived.</x:v>
      </x:c>
      <x:c r="G5" s="24" t="str"/>
      <x:c r="H5" s="24"/>
      <x:c r="I5" s="24"/>
      <x:c r="J5" s="24" t="str">
        <x:v>Unlock title 'Basic Hunting Tactics'; Max Health +40</x:v>
      </x:c>
      <x:c r="K5" s="24" t="str">
        <x:v>One-time</x:v>
      </x:c>
      <x:c r="L5" s="24" t="str">
        <x:v>Named &amp; sourced; checklist missing</x:v>
      </x:c>
      <x:c r="M5" s="24" t="str">
        <x:v>Yes</x:v>
      </x:c>
      <x:c r="N5" s="24" t="str">
        <x:v>Title stat bonus: 5 STR; 5 END. These numbers are title ATTRIBUTES, not skill-point costs. Career-guide progression is based on learned skills.</x:v>
      </x:c>
      <x:c r="O5" s="24" t="str">
        <x:v>https://www.scribd.com/document/501357601/Durango-Wildlands-Mastersheet</x:v>
      </x:c>
    </x:row>
    <x:row r="6" ht="30" customHeight="1">
      <x:c r="A6" s="24" t="str">
        <x:v>DW-T0044</x:v>
      </x:c>
      <x:c r="B6" s="24" t="str">
        <x:v>Career guides</x:v>
      </x:c>
      <x:c r="C6" s="24" t="str">
        <x:v>One-Handed Combat: Read Your Enemy</x:v>
      </x:c>
      <x:c r="D6" s="24" t="str">
        <x:v>Combat / One-Handed Melee</x:v>
      </x:c>
      <x:c r="E6" s="24" t="str">
        <x:v>Career Guide UI</x:v>
      </x:c>
      <x:c r="F6" s="24" t="str">
        <x:v>Complete the matching Career Guide skill-learning checklist; individual requirements mostly unarchived.</x:v>
      </x:c>
      <x:c r="G6" s="24" t="str"/>
      <x:c r="H6" s="24"/>
      <x:c r="I6" s="24"/>
      <x:c r="J6" s="24" t="str">
        <x:v>Unlock title 'One-Handed Combat: Read Your Enemy'; Life/sec +0.5</x:v>
      </x:c>
      <x:c r="K6" s="24" t="str">
        <x:v>One-time</x:v>
      </x:c>
      <x:c r="L6" s="24" t="str">
        <x:v>Named &amp; sourced; checklist missing</x:v>
      </x:c>
      <x:c r="M6" s="24" t="str">
        <x:v>Yes</x:v>
      </x:c>
      <x:c r="N6" s="24" t="str">
        <x:v>Title stat bonus: 15 STR. These numbers are title ATTRIBUTES, not skill-point costs. Career-guide progression is based on learned skills.</x:v>
      </x:c>
      <x:c r="O6" s="24" t="str">
        <x:v>https://www.scribd.com/document/501357601/Durango-Wildlands-Mastersheet</x:v>
      </x:c>
    </x:row>
    <x:row r="7" ht="30" customHeight="1">
      <x:c r="A7" s="24" t="str">
        <x:v>DW-T0045</x:v>
      </x:c>
      <x:c r="B7" s="24" t="str">
        <x:v>Career guides</x:v>
      </x:c>
      <x:c r="C7" s="24" t="str">
        <x:v>One-Handed Combat: Cognitive Psychology</x:v>
      </x:c>
      <x:c r="D7" s="24" t="str">
        <x:v>Combat / One-Handed Melee</x:v>
      </x:c>
      <x:c r="E7" s="24" t="str">
        <x:v>Career Guide UI</x:v>
      </x:c>
      <x:c r="F7" s="24" t="str">
        <x:v>Complete the matching Career Guide skill-learning checklist; individual requirements mostly unarchived.</x:v>
      </x:c>
      <x:c r="G7" s="24" t="str"/>
      <x:c r="H7" s="24"/>
      <x:c r="I7" s="24"/>
      <x:c r="J7" s="24" t="str">
        <x:v>Unlock title 'One-Handed Combat: Cognitive Psychology'; Life/sec +1</x:v>
      </x:c>
      <x:c r="K7" s="24" t="str">
        <x:v>One-time</x:v>
      </x:c>
      <x:c r="L7" s="24" t="str">
        <x:v>Named &amp; sourced; checklist missing</x:v>
      </x:c>
      <x:c r="M7" s="24" t="str">
        <x:v>Yes</x:v>
      </x:c>
      <x:c r="N7" s="24" t="str">
        <x:v>Title stat bonus: 23 STR. These numbers are title ATTRIBUTES, not skill-point costs. Career-guide progression is based on learned skills.</x:v>
      </x:c>
      <x:c r="O7" s="24" t="str">
        <x:v>https://www.scribd.com/document/501357601/Durango-Wildlands-Mastersheet</x:v>
      </x:c>
    </x:row>
    <x:row r="8" ht="30" customHeight="1">
      <x:c r="A8" s="24" t="str">
        <x:v>DW-T0046</x:v>
      </x:c>
      <x:c r="B8" s="24" t="str">
        <x:v>Career guides</x:v>
      </x:c>
      <x:c r="C8" s="24" t="str">
        <x:v>One-Handed Combat: Criminal Psychology</x:v>
      </x:c>
      <x:c r="D8" s="24" t="str">
        <x:v>Combat / One-Handed Melee</x:v>
      </x:c>
      <x:c r="E8" s="24" t="str">
        <x:v>Career Guide UI</x:v>
      </x:c>
      <x:c r="F8" s="24" t="str">
        <x:v>Complete the matching Career Guide skill-learning checklist; individual requirements mostly unarchived.</x:v>
      </x:c>
      <x:c r="G8" s="24" t="str"/>
      <x:c r="H8" s="24"/>
      <x:c r="I8" s="24"/>
      <x:c r="J8" s="24" t="str">
        <x:v>Unlock title 'One-Handed Combat: Criminal Psychology'; Life/sec +1.5</x:v>
      </x:c>
      <x:c r="K8" s="24" t="str">
        <x:v>One-time</x:v>
      </x:c>
      <x:c r="L8" s="24" t="str">
        <x:v>Named &amp; sourced; checklist missing</x:v>
      </x:c>
      <x:c r="M8" s="24" t="str">
        <x:v>Yes</x:v>
      </x:c>
      <x:c r="N8" s="24" t="str">
        <x:v>Title stat bonus: 30 STR. These numbers are title ATTRIBUTES, not skill-point costs. Career-guide progression is based on learned skills.</x:v>
      </x:c>
      <x:c r="O8" s="24" t="str">
        <x:v>https://www.scribd.com/document/501357601/Durango-Wildlands-Mastersheet</x:v>
      </x:c>
    </x:row>
    <x:row r="9" ht="30" customHeight="1">
      <x:c r="A9" s="24" t="str">
        <x:v>DW-T0047</x:v>
      </x:c>
      <x:c r="B9" s="24" t="str">
        <x:v>Career guides</x:v>
      </x:c>
      <x:c r="C9" s="24" t="str">
        <x:v>Two-Handed Combat: Critical Thinking</x:v>
      </x:c>
      <x:c r="D9" s="24" t="str">
        <x:v>Combat / Two-Handed Melee</x:v>
      </x:c>
      <x:c r="E9" s="24" t="str">
        <x:v>Career Guide UI</x:v>
      </x:c>
      <x:c r="F9" s="24" t="str">
        <x:v>Complete the matching Career Guide skill-learning checklist; individual requirements mostly unarchived.</x:v>
      </x:c>
      <x:c r="G9" s="24" t="str"/>
      <x:c r="H9" s="24"/>
      <x:c r="I9" s="24"/>
      <x:c r="J9" s="24" t="str">
        <x:v>Unlock title 'Two-Handed Combat: Critical Thinking'; Max Health +60</x:v>
      </x:c>
      <x:c r="K9" s="24" t="str">
        <x:v>One-time</x:v>
      </x:c>
      <x:c r="L9" s="24" t="str">
        <x:v>Named &amp; sourced; checklist missing</x:v>
      </x:c>
      <x:c r="M9" s="24" t="str">
        <x:v>Yes</x:v>
      </x:c>
      <x:c r="N9" s="24" t="str">
        <x:v>Title stat bonus: 15 END. These numbers are title ATTRIBUTES, not skill-point costs. Career-guide progression is based on learned skills.</x:v>
      </x:c>
      <x:c r="O9" s="24" t="str">
        <x:v>https://www.scribd.com/document/501357601/Durango-Wildlands-Mastersheet</x:v>
      </x:c>
    </x:row>
    <x:row r="10" ht="30" customHeight="1">
      <x:c r="A10" s="24" t="str">
        <x:v>DW-T0048</x:v>
      </x:c>
      <x:c r="B10" s="24" t="str">
        <x:v>Career guides</x:v>
      </x:c>
      <x:c r="C10" s="24" t="str">
        <x:v>Two-Handed Combat: Warrior's Doctrine</x:v>
      </x:c>
      <x:c r="D10" s="24" t="str">
        <x:v>Combat / Two-Handed Melee</x:v>
      </x:c>
      <x:c r="E10" s="24" t="str">
        <x:v>Career Guide UI</x:v>
      </x:c>
      <x:c r="F10" s="24" t="str">
        <x:v>Complete the matching Career Guide skill-learning checklist; individual requirements mostly unarchived.</x:v>
      </x:c>
      <x:c r="G10" s="24" t="str"/>
      <x:c r="H10" s="24"/>
      <x:c r="I10" s="24"/>
      <x:c r="J10" s="24" t="str">
        <x:v>Unlock title 'Two-Handed Combat: Warrior's Doctrine'; Max Health +80</x:v>
      </x:c>
      <x:c r="K10" s="24" t="str">
        <x:v>One-time</x:v>
      </x:c>
      <x:c r="L10" s="24" t="str">
        <x:v>Named &amp; sourced; checklist missing</x:v>
      </x:c>
      <x:c r="M10" s="24" t="str">
        <x:v>Yes</x:v>
      </x:c>
      <x:c r="N10" s="24" t="str">
        <x:v>Title stat bonus: 23 END. These numbers are title ATTRIBUTES, not skill-point costs. Career-guide progression is based on learned skills.</x:v>
      </x:c>
      <x:c r="O10" s="24" t="str">
        <x:v>https://www.scribd.com/document/501357601/Durango-Wildlands-Mastersheet</x:v>
      </x:c>
    </x:row>
    <x:row r="11" ht="30" customHeight="1">
      <x:c r="A11" s="24" t="str">
        <x:v>DW-T0049</x:v>
      </x:c>
      <x:c r="B11" s="24" t="str">
        <x:v>Career guides</x:v>
      </x:c>
      <x:c r="C11" s="24" t="str">
        <x:v>Two-Handed Combat: Battlefield Ethics</x:v>
      </x:c>
      <x:c r="D11" s="24" t="str">
        <x:v>Combat / Two-Handed Melee</x:v>
      </x:c>
      <x:c r="E11" s="24" t="str">
        <x:v>Career Guide UI</x:v>
      </x:c>
      <x:c r="F11" s="24" t="str">
        <x:v>Complete the matching Career Guide skill-learning checklist; individual requirements mostly unarchived.</x:v>
      </x:c>
      <x:c r="G11" s="24" t="str"/>
      <x:c r="H11" s="24"/>
      <x:c r="I11" s="24"/>
      <x:c r="J11" s="24" t="str">
        <x:v>Unlock title 'Two-Handed Combat: Battlefield Ethics'; Max Health +100</x:v>
      </x:c>
      <x:c r="K11" s="24" t="str">
        <x:v>One-time</x:v>
      </x:c>
      <x:c r="L11" s="24" t="str">
        <x:v>Named &amp; sourced; checklist missing</x:v>
      </x:c>
      <x:c r="M11" s="24" t="str">
        <x:v>Yes</x:v>
      </x:c>
      <x:c r="N11" s="24" t="str">
        <x:v>Title stat bonus: 30 END. These numbers are title ATTRIBUTES, not skill-point costs. Career-guide progression is based on learned skills.</x:v>
      </x:c>
      <x:c r="O11" s="24" t="str">
        <x:v>https://www.scribd.com/document/501357601/Durango-Wildlands-Mastersheet</x:v>
      </x:c>
    </x:row>
    <x:row r="12" ht="30" customHeight="1">
      <x:c r="A12" s="24" t="str">
        <x:v>DW-T0050</x:v>
      </x:c>
      <x:c r="B12" s="24" t="str">
        <x:v>Career guides</x:v>
      </x:c>
      <x:c r="C12" s="24" t="str">
        <x:v>Archery and Calculus</x:v>
      </x:c>
      <x:c r="D12" s="24" t="str">
        <x:v>Combat / Ranged</x:v>
      </x:c>
      <x:c r="E12" s="24" t="str">
        <x:v>Career Guide UI</x:v>
      </x:c>
      <x:c r="F12" s="24" t="str">
        <x:v>Complete the matching Career Guide skill-learning checklist; individual requirements mostly unarchived.</x:v>
      </x:c>
      <x:c r="G12" s="24" t="str"/>
      <x:c r="H12" s="24"/>
      <x:c r="I12" s="24"/>
      <x:c r="J12" s="24" t="str">
        <x:v>Unlock title 'Archery and Calculus'; Accuracy +3</x:v>
      </x:c>
      <x:c r="K12" s="24" t="str">
        <x:v>One-time</x:v>
      </x:c>
      <x:c r="L12" s="24" t="str">
        <x:v>Named &amp; sourced; checklist missing</x:v>
      </x:c>
      <x:c r="M12" s="24" t="str">
        <x:v>Yes</x:v>
      </x:c>
      <x:c r="N12" s="24" t="str">
        <x:v>Title stat bonus: 15 AGI. These numbers are title ATTRIBUTES, not skill-point costs. Career-guide progression is based on learned skills.</x:v>
      </x:c>
      <x:c r="O12" s="24" t="str">
        <x:v>https://www.scribd.com/document/501357601/Durango-Wildlands-Mastersheet</x:v>
      </x:c>
    </x:row>
    <x:row r="13" ht="30" customHeight="1">
      <x:c r="A13" s="24" t="str">
        <x:v>DW-T0051</x:v>
      </x:c>
      <x:c r="B13" s="24" t="str">
        <x:v>Career guides</x:v>
      </x:c>
      <x:c r="C13" s="24" t="str">
        <x:v>Archery and Classical Mechanics</x:v>
      </x:c>
      <x:c r="D13" s="24" t="str">
        <x:v>Combat / Ranged</x:v>
      </x:c>
      <x:c r="E13" s="24" t="str">
        <x:v>Career Guide UI</x:v>
      </x:c>
      <x:c r="F13" s="24" t="str">
        <x:v>Complete the matching Career Guide skill-learning checklist; individual requirements mostly unarchived.</x:v>
      </x:c>
      <x:c r="G13" s="24" t="str"/>
      <x:c r="H13" s="24"/>
      <x:c r="I13" s="24"/>
      <x:c r="J13" s="24" t="str">
        <x:v>Unlock title 'Archery and Classical Mechanics'; Accuracy +4</x:v>
      </x:c>
      <x:c r="K13" s="24" t="str">
        <x:v>One-time</x:v>
      </x:c>
      <x:c r="L13" s="24" t="str">
        <x:v>Named &amp; sourced; checklist missing</x:v>
      </x:c>
      <x:c r="M13" s="24" t="str">
        <x:v>Yes</x:v>
      </x:c>
      <x:c r="N13" s="24" t="str">
        <x:v>Title stat bonus: 23 AGI. These numbers are title ATTRIBUTES, not skill-point costs. Career-guide progression is based on learned skills.</x:v>
      </x:c>
      <x:c r="O13" s="24" t="str">
        <x:v>https://www.scribd.com/document/501357601/Durango-Wildlands-Mastersheet</x:v>
      </x:c>
    </x:row>
    <x:row r="14" ht="30" customHeight="1">
      <x:c r="A14" s="24" t="str">
        <x:v>DW-T0052</x:v>
      </x:c>
      <x:c r="B14" s="24" t="str">
        <x:v>Career guides</x:v>
      </x:c>
      <x:c r="C14" s="24" t="str">
        <x:v>Archery and the Theory of Relativity</x:v>
      </x:c>
      <x:c r="D14" s="24" t="str">
        <x:v>Combat / Ranged</x:v>
      </x:c>
      <x:c r="E14" s="24" t="str">
        <x:v>Career Guide UI</x:v>
      </x:c>
      <x:c r="F14" s="24" t="str">
        <x:v>Complete the matching Career Guide skill-learning checklist; individual requirements mostly unarchived.</x:v>
      </x:c>
      <x:c r="G14" s="24" t="str"/>
      <x:c r="H14" s="24"/>
      <x:c r="I14" s="24"/>
      <x:c r="J14" s="24" t="str">
        <x:v>Unlock title 'Archery and the Theory of Relativity'; Accuracy +5</x:v>
      </x:c>
      <x:c r="K14" s="24" t="str">
        <x:v>One-time</x:v>
      </x:c>
      <x:c r="L14" s="24" t="str">
        <x:v>Named &amp; sourced; checklist missing</x:v>
      </x:c>
      <x:c r="M14" s="24" t="str">
        <x:v>Yes</x:v>
      </x:c>
      <x:c r="N14" s="24" t="str">
        <x:v>Title stat bonus: 30 AGI. These numbers are title ATTRIBUTES, not skill-point costs. Career-guide progression is based on learned skills.</x:v>
      </x:c>
      <x:c r="O14" s="24" t="str">
        <x:v>https://www.scribd.com/document/501357601/Durango-Wildlands-Mastersheet</x:v>
      </x:c>
    </x:row>
    <x:row r="15" ht="30" customHeight="1">
      <x:c r="A15" s="24" t="str">
        <x:v>DW-T0053</x:v>
      </x:c>
      <x:c r="B15" s="24" t="str">
        <x:v>Career guides</x:v>
      </x:c>
      <x:c r="C15" s="24" t="str">
        <x:v>Animal Anatomy</x:v>
      </x:c>
      <x:c r="D15" s="24" t="str">
        <x:v>Combat / Butchering</x:v>
      </x:c>
      <x:c r="E15" s="24" t="str">
        <x:v>Career Guide UI</x:v>
      </x:c>
      <x:c r="F15" s="24" t="str">
        <x:v>Complete the matching Career Guide skill-learning checklist; individual requirements mostly unarchived.</x:v>
      </x:c>
      <x:c r="G15" s="24" t="str"/>
      <x:c r="H15" s="24"/>
      <x:c r="I15" s="24"/>
      <x:c r="J15" s="24" t="str">
        <x:v>Unlock title 'Animal Anatomy'; Slaughter Ability +2</x:v>
      </x:c>
      <x:c r="K15" s="24" t="str">
        <x:v>One-time</x:v>
      </x:c>
      <x:c r="L15" s="24" t="str">
        <x:v>Named &amp; sourced; checklist missing</x:v>
      </x:c>
      <x:c r="M15" s="24" t="str">
        <x:v>Yes</x:v>
      </x:c>
      <x:c r="N15" s="24" t="str">
        <x:v>Title stat bonus: 0 stat points listed. These numbers are title ATTRIBUTES, not skill-point costs. Career-guide progression is based on learned skills.</x:v>
      </x:c>
      <x:c r="O15" s="24" t="str">
        <x:v>https://www.scribd.com/document/501357601/Durango-Wildlands-Mastersheet</x:v>
      </x:c>
    </x:row>
    <x:row r="16" ht="30" customHeight="1">
      <x:c r="A16" s="24" t="str">
        <x:v>DW-T0054</x:v>
      </x:c>
      <x:c r="B16" s="24" t="str">
        <x:v>Career guides</x:v>
      </x:c>
      <x:c r="C16" s="24" t="str">
        <x:v>Animal Dissection Lab</x:v>
      </x:c>
      <x:c r="D16" s="24" t="str">
        <x:v>Combat / Butchering</x:v>
      </x:c>
      <x:c r="E16" s="24" t="str">
        <x:v>Career Guide UI</x:v>
      </x:c>
      <x:c r="F16" s="24" t="str">
        <x:v>Complete the matching Career Guide skill-learning checklist; individual requirements mostly unarchived.</x:v>
      </x:c>
      <x:c r="G16" s="24" t="str"/>
      <x:c r="H16" s="24"/>
      <x:c r="I16" s="24"/>
      <x:c r="J16" s="24" t="str">
        <x:v>Unlock title 'Animal Dissection Lab'; Slaughter Ability +3</x:v>
      </x:c>
      <x:c r="K16" s="24" t="str">
        <x:v>One-time</x:v>
      </x:c>
      <x:c r="L16" s="24" t="str">
        <x:v>Named &amp; sourced; checklist missing</x:v>
      </x:c>
      <x:c r="M16" s="24" t="str">
        <x:v>Yes</x:v>
      </x:c>
      <x:c r="N16" s="24" t="str">
        <x:v>Title stat bonus: 0 stat points listed. These numbers are title ATTRIBUTES, not skill-point costs. Career-guide progression is based on learned skills.</x:v>
      </x:c>
      <x:c r="O16" s="24" t="str">
        <x:v>https://www.scribd.com/document/501357601/Durango-Wildlands-Mastersheet</x:v>
      </x:c>
    </x:row>
    <x:row r="17" ht="30" customHeight="1">
      <x:c r="A17" s="24" t="str">
        <x:v>DW-T0055</x:v>
      </x:c>
      <x:c r="B17" s="24" t="str">
        <x:v>Career guides</x:v>
      </x:c>
      <x:c r="C17" s="24" t="str">
        <x:v>Animal Molecular Biology</x:v>
      </x:c>
      <x:c r="D17" s="24" t="str">
        <x:v>Combat / Butchering</x:v>
      </x:c>
      <x:c r="E17" s="24" t="str">
        <x:v>Career Guide UI</x:v>
      </x:c>
      <x:c r="F17" s="24" t="str">
        <x:v>Complete the matching Career Guide skill-learning checklist; individual requirements mostly unarchived.</x:v>
      </x:c>
      <x:c r="G17" s="24" t="str"/>
      <x:c r="H17" s="24"/>
      <x:c r="I17" s="24"/>
      <x:c r="J17" s="24" t="str">
        <x:v>Unlock title 'Animal Molecular Biology'; Slaughter Ability +4</x:v>
      </x:c>
      <x:c r="K17" s="24" t="str">
        <x:v>One-time</x:v>
      </x:c>
      <x:c r="L17" s="24" t="str">
        <x:v>Named &amp; sourced; checklist missing</x:v>
      </x:c>
      <x:c r="M17" s="24" t="str">
        <x:v>Yes</x:v>
      </x:c>
      <x:c r="N17" s="24" t="str">
        <x:v>Title stat bonus: 0 stat points listed. These numbers are title ATTRIBUTES, not skill-point costs. Career-guide progression is based on learned skills.</x:v>
      </x:c>
      <x:c r="O17" s="24" t="str">
        <x:v>https://www.scribd.com/document/501357601/Durango-Wildlands-Mastersheet</x:v>
      </x:c>
    </x:row>
    <x:row r="18" ht="30" customHeight="1">
      <x:c r="A18" s="24" t="str">
        <x:v>DW-T0056</x:v>
      </x:c>
      <x:c r="B18" s="24" t="str">
        <x:v>Career guides</x:v>
      </x:c>
      <x:c r="C18" s="24" t="str">
        <x:v>Weapon Crafting 101</x:v>
      </x:c>
      <x:c r="D18" s="24" t="str">
        <x:v>Weapon Crafting / Basics</x:v>
      </x:c>
      <x:c r="E18" s="24" t="str">
        <x:v>Career Guide UI</x:v>
      </x:c>
      <x:c r="F18" s="24" t="str">
        <x:v>Complete the matching Career Guide skill-learning checklist; individual requirements mostly unarchived.</x:v>
      </x:c>
      <x:c r="G18" s="24" t="str"/>
      <x:c r="H18" s="24"/>
      <x:c r="I18" s="24"/>
      <x:c r="J18" s="24" t="str">
        <x:v>Unlock title 'Weapon Crafting 101'; Weapon Crafting Ability +1</x:v>
      </x:c>
      <x:c r="K18" s="24" t="str">
        <x:v>One-time</x:v>
      </x:c>
      <x:c r="L18" s="24" t="str">
        <x:v>Named &amp; sourced; checklist missing</x:v>
      </x:c>
      <x:c r="M18" s="24" t="str">
        <x:v>Yes</x:v>
      </x:c>
      <x:c r="N18" s="24" t="str">
        <x:v>Title stat bonus: 3 STR; 7 DEX. These numbers are title ATTRIBUTES, not skill-point costs. Career-guide progression is based on learned skills.</x:v>
      </x:c>
      <x:c r="O18" s="24" t="str">
        <x:v>https://www.scribd.com/document/501357601/Durango-Wildlands-Mastersheet</x:v>
      </x:c>
    </x:row>
    <x:row r="19" ht="30" customHeight="1">
      <x:c r="A19" s="24" t="str">
        <x:v>DW-T0057</x:v>
      </x:c>
      <x:c r="B19" s="24" t="str">
        <x:v>Career guides</x:v>
      </x:c>
      <x:c r="C19" s="24" t="str">
        <x:v>Basic Sword Production</x:v>
      </x:c>
      <x:c r="D19" s="24" t="str">
        <x:v>Weapon Crafting / Sword</x:v>
      </x:c>
      <x:c r="E19" s="24" t="str">
        <x:v>Career Guide UI</x:v>
      </x:c>
      <x:c r="F19" s="24" t="str">
        <x:v>Complete the matching Career Guide skill-learning checklist; individual requirements mostly unarchived.</x:v>
      </x:c>
      <x:c r="G19" s="24" t="str"/>
      <x:c r="H19" s="24"/>
      <x:c r="I19" s="24"/>
      <x:c r="J19" s="24" t="str">
        <x:v>Unlock title 'Basic Sword Production'; Weapon Crafting Ability +2</x:v>
      </x:c>
      <x:c r="K19" s="24" t="str">
        <x:v>One-time</x:v>
      </x:c>
      <x:c r="L19" s="24" t="str">
        <x:v>Named &amp; sourced; checklist missing</x:v>
      </x:c>
      <x:c r="M19" s="24" t="str">
        <x:v>Yes</x:v>
      </x:c>
      <x:c r="N19" s="24" t="str">
        <x:v>Title stat bonus: 15 DEX. These numbers are title ATTRIBUTES, not skill-point costs. Career-guide progression is based on learned skills.</x:v>
      </x:c>
      <x:c r="O19" s="24" t="str">
        <x:v>https://www.scribd.com/document/501357601/Durango-Wildlands-Mastersheet</x:v>
      </x:c>
    </x:row>
    <x:row r="20" ht="30" customHeight="1">
      <x:c r="A20" s="24" t="str">
        <x:v>DW-T0058</x:v>
      </x:c>
      <x:c r="B20" s="24" t="str">
        <x:v>Career guides</x:v>
      </x:c>
      <x:c r="C20" s="24" t="str">
        <x:v>Intermediate Sword Production</x:v>
      </x:c>
      <x:c r="D20" s="24" t="str">
        <x:v>Weapon Crafting / Sword</x:v>
      </x:c>
      <x:c r="E20" s="24" t="str">
        <x:v>Career Guide UI</x:v>
      </x:c>
      <x:c r="F20" s="24" t="str">
        <x:v>Complete the matching Career Guide skill-learning checklist; individual requirements mostly unarchived.</x:v>
      </x:c>
      <x:c r="G20" s="24" t="str"/>
      <x:c r="H20" s="24"/>
      <x:c r="I20" s="24"/>
      <x:c r="J20" s="24" t="str">
        <x:v>Unlock title 'Intermediate Sword Production'; Weapon Crafting Ability +3</x:v>
      </x:c>
      <x:c r="K20" s="24" t="str">
        <x:v>One-time</x:v>
      </x:c>
      <x:c r="L20" s="24" t="str">
        <x:v>Named &amp; sourced; checklist missing</x:v>
      </x:c>
      <x:c r="M20" s="24" t="str">
        <x:v>Yes</x:v>
      </x:c>
      <x:c r="N20" s="24" t="str">
        <x:v>Title stat bonus: 23 DEX. These numbers are title ATTRIBUTES, not skill-point costs. Career-guide progression is based on learned skills.</x:v>
      </x:c>
      <x:c r="O20" s="24" t="str">
        <x:v>https://www.scribd.com/document/501357601/Durango-Wildlands-Mastersheet</x:v>
      </x:c>
    </x:row>
    <x:row r="21" ht="30" customHeight="1">
      <x:c r="A21" s="24" t="str">
        <x:v>DW-T0059</x:v>
      </x:c>
      <x:c r="B21" s="24" t="str">
        <x:v>Career guides</x:v>
      </x:c>
      <x:c r="C21" s="24" t="str">
        <x:v>Advanced Sword Production</x:v>
      </x:c>
      <x:c r="D21" s="24" t="str">
        <x:v>Weapon Crafting / Sword</x:v>
      </x:c>
      <x:c r="E21" s="24" t="str">
        <x:v>Career Guide UI</x:v>
      </x:c>
      <x:c r="F21" s="24" t="str">
        <x:v>Complete the matching Career Guide skill-learning checklist; individual requirements mostly unarchived.</x:v>
      </x:c>
      <x:c r="G21" s="24" t="str"/>
      <x:c r="H21" s="24"/>
      <x:c r="I21" s="24"/>
      <x:c r="J21" s="24" t="str">
        <x:v>Unlock title 'Advanced Sword Production'; Weapon Crafting Ability +4</x:v>
      </x:c>
      <x:c r="K21" s="24" t="str">
        <x:v>One-time</x:v>
      </x:c>
      <x:c r="L21" s="24" t="str">
        <x:v>Named &amp; sourced; checklist missing</x:v>
      </x:c>
      <x:c r="M21" s="24" t="str">
        <x:v>Yes</x:v>
      </x:c>
      <x:c r="N21" s="24" t="str">
        <x:v>Title stat bonus: 30 DEX. These numbers are title ATTRIBUTES, not skill-point costs. Career-guide progression is based on learned skills.</x:v>
      </x:c>
      <x:c r="O21" s="24" t="str">
        <x:v>https://www.scribd.com/document/501357601/Durango-Wildlands-Mastersheet</x:v>
      </x:c>
    </x:row>
    <x:row r="22" ht="30" customHeight="1">
      <x:c r="A22" s="24" t="str">
        <x:v>DW-T0060</x:v>
      </x:c>
      <x:c r="B22" s="24" t="str">
        <x:v>Career guides</x:v>
      </x:c>
      <x:c r="C22" s="24" t="str">
        <x:v>Basic Axe Production</x:v>
      </x:c>
      <x:c r="D22" s="24" t="str">
        <x:v>Weapon Crafting / Axe</x:v>
      </x:c>
      <x:c r="E22" s="24" t="str">
        <x:v>Career Guide UI</x:v>
      </x:c>
      <x:c r="F22" s="24" t="str">
        <x:v>Complete the matching Career Guide skill-learning checklist; individual requirements mostly unarchived.</x:v>
      </x:c>
      <x:c r="G22" s="24" t="str"/>
      <x:c r="H22" s="24"/>
      <x:c r="I22" s="24"/>
      <x:c r="J22" s="24" t="str">
        <x:v>Unlock title 'Basic Axe Production'; Metal Processing Ability +2</x:v>
      </x:c>
      <x:c r="K22" s="24" t="str">
        <x:v>One-time</x:v>
      </x:c>
      <x:c r="L22" s="24" t="str">
        <x:v>Named &amp; sourced; checklist missing</x:v>
      </x:c>
      <x:c r="M22" s="24" t="str">
        <x:v>Yes</x:v>
      </x:c>
      <x:c r="N22" s="24" t="str">
        <x:v>Title stat bonus: 10 DEX; 5 WIL. These numbers are title ATTRIBUTES, not skill-point costs. Career-guide progression is based on learned skills.</x:v>
      </x:c>
      <x:c r="O22" s="24" t="str">
        <x:v>https://www.scribd.com/document/501357601/Durango-Wildlands-Mastersheet</x:v>
      </x:c>
    </x:row>
    <x:row r="23" ht="30" customHeight="1">
      <x:c r="A23" s="24" t="str">
        <x:v>DW-T0061</x:v>
      </x:c>
      <x:c r="B23" s="24" t="str">
        <x:v>Career guides</x:v>
      </x:c>
      <x:c r="C23" s="24" t="str">
        <x:v>Intermediate Axe Production</x:v>
      </x:c>
      <x:c r="D23" s="24" t="str">
        <x:v>Weapon Crafting / Axe</x:v>
      </x:c>
      <x:c r="E23" s="24" t="str">
        <x:v>Career Guide UI</x:v>
      </x:c>
      <x:c r="F23" s="24" t="str">
        <x:v>Complete the matching Career Guide skill-learning checklist; individual requirements mostly unarchived.</x:v>
      </x:c>
      <x:c r="G23" s="24" t="str"/>
      <x:c r="H23" s="24"/>
      <x:c r="I23" s="24"/>
      <x:c r="J23" s="24" t="str">
        <x:v>Unlock title 'Intermediate Axe Production'; Metal Processing Ability +3</x:v>
      </x:c>
      <x:c r="K23" s="24" t="str">
        <x:v>One-time</x:v>
      </x:c>
      <x:c r="L23" s="24" t="str">
        <x:v>Named &amp; sourced; checklist missing</x:v>
      </x:c>
      <x:c r="M23" s="24" t="str">
        <x:v>Yes</x:v>
      </x:c>
      <x:c r="N23" s="24" t="str">
        <x:v>Title stat bonus: 15 DEX; 8 WIL. These numbers are title ATTRIBUTES, not skill-point costs. Career-guide progression is based on learned skills.</x:v>
      </x:c>
      <x:c r="O23" s="24" t="str">
        <x:v>https://www.scribd.com/document/501357601/Durango-Wildlands-Mastersheet</x:v>
      </x:c>
    </x:row>
    <x:row r="24" ht="30" customHeight="1">
      <x:c r="A24" s="24" t="str">
        <x:v>DW-T0062</x:v>
      </x:c>
      <x:c r="B24" s="24" t="str">
        <x:v>Career guides</x:v>
      </x:c>
      <x:c r="C24" s="24" t="str">
        <x:v>Advanced Axe Production</x:v>
      </x:c>
      <x:c r="D24" s="24" t="str">
        <x:v>Weapon Crafting / Axe</x:v>
      </x:c>
      <x:c r="E24" s="24" t="str">
        <x:v>Career Guide UI</x:v>
      </x:c>
      <x:c r="F24" s="24" t="str">
        <x:v>Complete the matching Career Guide skill-learning checklist; individual requirements mostly unarchived.</x:v>
      </x:c>
      <x:c r="G24" s="24" t="str"/>
      <x:c r="H24" s="24"/>
      <x:c r="I24" s="24"/>
      <x:c r="J24" s="24" t="str">
        <x:v>Unlock title 'Advanced Axe Production'; Metal Processing Ability +4</x:v>
      </x:c>
      <x:c r="K24" s="24" t="str">
        <x:v>One-time</x:v>
      </x:c>
      <x:c r="L24" s="24" t="str">
        <x:v>Named &amp; sourced; checklist missing</x:v>
      </x:c>
      <x:c r="M24" s="24" t="str">
        <x:v>Yes</x:v>
      </x:c>
      <x:c r="N24" s="24" t="str">
        <x:v>Title stat bonus: 20 DEX; 10 WIL. These numbers are title ATTRIBUTES, not skill-point costs. Career-guide progression is based on learned skills.</x:v>
      </x:c>
      <x:c r="O24" s="24" t="str">
        <x:v>https://www.scribd.com/document/501357601/Durango-Wildlands-Mastersheet</x:v>
      </x:c>
    </x:row>
    <x:row r="25" ht="30" customHeight="1">
      <x:c r="A25" s="24" t="str">
        <x:v>DW-T0063</x:v>
      </x:c>
      <x:c r="B25" s="24" t="str">
        <x:v>Career guides</x:v>
      </x:c>
      <x:c r="C25" s="24" t="str">
        <x:v>Basic Blunt Weapon Production</x:v>
      </x:c>
      <x:c r="D25" s="24" t="str">
        <x:v>Weapon Crafting / Blunt Weapon</x:v>
      </x:c>
      <x:c r="E25" s="24" t="str">
        <x:v>Career Guide UI</x:v>
      </x:c>
      <x:c r="F25" s="24" t="str">
        <x:v>Complete the matching Career Guide skill-learning checklist; individual requirements mostly unarchived.</x:v>
      </x:c>
      <x:c r="G25" s="24" t="str"/>
      <x:c r="H25" s="24"/>
      <x:c r="I25" s="24"/>
      <x:c r="J25" s="24" t="str">
        <x:v>Unlock title 'Basic Blunt Weapon Production'; Handicraft Ability +2</x:v>
      </x:c>
      <x:c r="K25" s="24" t="str">
        <x:v>One-time</x:v>
      </x:c>
      <x:c r="L25" s="24" t="str">
        <x:v>Named &amp; sourced; checklist missing</x:v>
      </x:c>
      <x:c r="M25" s="24" t="str">
        <x:v>Yes</x:v>
      </x:c>
      <x:c r="N25" s="24" t="str">
        <x:v>Title stat bonus: 10 STR; 5 DEX. These numbers are title ATTRIBUTES, not skill-point costs. Career-guide progression is based on learned skills.</x:v>
      </x:c>
      <x:c r="O25" s="24" t="str">
        <x:v>https://www.scribd.com/document/501357601/Durango-Wildlands-Mastersheet</x:v>
      </x:c>
    </x:row>
    <x:row r="26" ht="30" customHeight="1">
      <x:c r="A26" s="24" t="str">
        <x:v>DW-T0064</x:v>
      </x:c>
      <x:c r="B26" s="24" t="str">
        <x:v>Career guides</x:v>
      </x:c>
      <x:c r="C26" s="24" t="str">
        <x:v>Intermediate Blunt Weapon Production</x:v>
      </x:c>
      <x:c r="D26" s="24" t="str">
        <x:v>Weapon Crafting / Blunt Weapon</x:v>
      </x:c>
      <x:c r="E26" s="24" t="str">
        <x:v>Career Guide UI</x:v>
      </x:c>
      <x:c r="F26" s="24" t="str">
        <x:v>Complete the matching Career Guide skill-learning checklist; individual requirements mostly unarchived.</x:v>
      </x:c>
      <x:c r="G26" s="24" t="str"/>
      <x:c r="H26" s="24"/>
      <x:c r="I26" s="24"/>
      <x:c r="J26" s="24" t="str">
        <x:v>Unlock title 'Intermediate Blunt Weapon Production'; Handicraft Ability +3</x:v>
      </x:c>
      <x:c r="K26" s="24" t="str">
        <x:v>One-time</x:v>
      </x:c>
      <x:c r="L26" s="24" t="str">
        <x:v>Named &amp; sourced; checklist missing</x:v>
      </x:c>
      <x:c r="M26" s="24" t="str">
        <x:v>Yes</x:v>
      </x:c>
      <x:c r="N26" s="24" t="str">
        <x:v>Title stat bonus: 15 STR; 8 DEX. These numbers are title ATTRIBUTES, not skill-point costs. Career-guide progression is based on learned skills.</x:v>
      </x:c>
      <x:c r="O26" s="24" t="str">
        <x:v>https://www.scribd.com/document/501357601/Durango-Wildlands-Mastersheet</x:v>
      </x:c>
    </x:row>
    <x:row r="27" ht="30" customHeight="1">
      <x:c r="A27" s="24" t="str">
        <x:v>DW-T0065</x:v>
      </x:c>
      <x:c r="B27" s="24" t="str">
        <x:v>Career guides</x:v>
      </x:c>
      <x:c r="C27" s="24" t="str">
        <x:v>Advanced Blunt Weapon Production</x:v>
      </x:c>
      <x:c r="D27" s="24" t="str">
        <x:v>Weapon Crafting / Blunt Weapon</x:v>
      </x:c>
      <x:c r="E27" s="24" t="str">
        <x:v>Career Guide UI</x:v>
      </x:c>
      <x:c r="F27" s="24" t="str">
        <x:v>Complete the matching Career Guide skill-learning checklist; individual requirements mostly unarchived.</x:v>
      </x:c>
      <x:c r="G27" s="24" t="str"/>
      <x:c r="H27" s="24"/>
      <x:c r="I27" s="24"/>
      <x:c r="J27" s="24" t="str">
        <x:v>Unlock title 'Advanced Blunt Weapon Production'; Handicraft Ability +4</x:v>
      </x:c>
      <x:c r="K27" s="24" t="str">
        <x:v>One-time</x:v>
      </x:c>
      <x:c r="L27" s="24" t="str">
        <x:v>Named &amp; sourced; checklist missing</x:v>
      </x:c>
      <x:c r="M27" s="24" t="str">
        <x:v>Yes</x:v>
      </x:c>
      <x:c r="N27" s="24" t="str">
        <x:v>Title stat bonus: 20 STR; 10 DEX. These numbers are title ATTRIBUTES, not skill-point costs. Career-guide progression is based on learned skills.</x:v>
      </x:c>
      <x:c r="O27" s="24" t="str">
        <x:v>https://www.scribd.com/document/501357601/Durango-Wildlands-Mastersheet</x:v>
      </x:c>
    </x:row>
    <x:row r="28" ht="30" customHeight="1">
      <x:c r="A28" s="24" t="str">
        <x:v>DW-T0066</x:v>
      </x:c>
      <x:c r="B28" s="24" t="str">
        <x:v>Career guides</x:v>
      </x:c>
      <x:c r="C28" s="24" t="str">
        <x:v>Basic Bow Production</x:v>
      </x:c>
      <x:c r="D28" s="24" t="str">
        <x:v>Weapon Crafting / Bow</x:v>
      </x:c>
      <x:c r="E28" s="24" t="str">
        <x:v>Career Guide UI</x:v>
      </x:c>
      <x:c r="F28" s="24" t="str">
        <x:v>Complete the matching Career Guide skill-learning checklist; individual requirements mostly unarchived.</x:v>
      </x:c>
      <x:c r="G28" s="24" t="str"/>
      <x:c r="H28" s="24"/>
      <x:c r="I28" s="24"/>
      <x:c r="J28" s="24" t="str">
        <x:v>Unlock title 'Basic Bow Production'; Weapon Crafting Ability +2</x:v>
      </x:c>
      <x:c r="K28" s="24" t="str">
        <x:v>One-time</x:v>
      </x:c>
      <x:c r="L28" s="24" t="str">
        <x:v>Named &amp; sourced; checklist missing</x:v>
      </x:c>
      <x:c r="M28" s="24" t="str">
        <x:v>Yes</x:v>
      </x:c>
      <x:c r="N28" s="24" t="str">
        <x:v>Title stat bonus: 5 STR; 10 DEX. These numbers are title ATTRIBUTES, not skill-point costs. Career-guide progression is based on learned skills.</x:v>
      </x:c>
      <x:c r="O28" s="24" t="str">
        <x:v>https://www.scribd.com/document/501357601/Durango-Wildlands-Mastersheet</x:v>
      </x:c>
    </x:row>
    <x:row r="29" ht="30" customHeight="1">
      <x:c r="A29" s="24" t="str">
        <x:v>DW-T0067</x:v>
      </x:c>
      <x:c r="B29" s="24" t="str">
        <x:v>Career guides</x:v>
      </x:c>
      <x:c r="C29" s="24" t="str">
        <x:v>Intermediate Bow Production</x:v>
      </x:c>
      <x:c r="D29" s="24" t="str">
        <x:v>Weapon Crafting / Bow</x:v>
      </x:c>
      <x:c r="E29" s="24" t="str">
        <x:v>Career Guide UI</x:v>
      </x:c>
      <x:c r="F29" s="24" t="str">
        <x:v>Complete the matching Career Guide skill-learning checklist; individual requirements mostly unarchived.</x:v>
      </x:c>
      <x:c r="G29" s="24" t="str"/>
      <x:c r="H29" s="24"/>
      <x:c r="I29" s="24"/>
      <x:c r="J29" s="24" t="str">
        <x:v>Unlock title 'Intermediate Bow Production'; Weapon Crafting Ability +3</x:v>
      </x:c>
      <x:c r="K29" s="24" t="str">
        <x:v>One-time</x:v>
      </x:c>
      <x:c r="L29" s="24" t="str">
        <x:v>Named &amp; sourced; checklist missing</x:v>
      </x:c>
      <x:c r="M29" s="24" t="str">
        <x:v>Yes</x:v>
      </x:c>
      <x:c r="N29" s="24" t="str">
        <x:v>Title stat bonus: 8 STR; 15 DEX. These numbers are title ATTRIBUTES, not skill-point costs. Career-guide progression is based on learned skills.</x:v>
      </x:c>
      <x:c r="O29" s="24" t="str">
        <x:v>https://www.scribd.com/document/501357601/Durango-Wildlands-Mastersheet</x:v>
      </x:c>
    </x:row>
    <x:row r="30" ht="30" customHeight="1">
      <x:c r="A30" s="24" t="str">
        <x:v>DW-T0068</x:v>
      </x:c>
      <x:c r="B30" s="24" t="str">
        <x:v>Career guides</x:v>
      </x:c>
      <x:c r="C30" s="24" t="str">
        <x:v>Advanced Bow Production</x:v>
      </x:c>
      <x:c r="D30" s="24" t="str">
        <x:v>Weapon Crafting / Bow</x:v>
      </x:c>
      <x:c r="E30" s="24" t="str">
        <x:v>Career Guide UI</x:v>
      </x:c>
      <x:c r="F30" s="24" t="str">
        <x:v>Complete the matching Career Guide skill-learning checklist; individual requirements mostly unarchived.</x:v>
      </x:c>
      <x:c r="G30" s="24" t="str"/>
      <x:c r="H30" s="24"/>
      <x:c r="I30" s="24"/>
      <x:c r="J30" s="24" t="str">
        <x:v>Unlock title 'Advanced Bow Production'; Weapon Crafting Ability +4</x:v>
      </x:c>
      <x:c r="K30" s="24" t="str">
        <x:v>One-time</x:v>
      </x:c>
      <x:c r="L30" s="24" t="str">
        <x:v>Named &amp; sourced; checklist missing</x:v>
      </x:c>
      <x:c r="M30" s="24" t="str">
        <x:v>Yes</x:v>
      </x:c>
      <x:c r="N30" s="24" t="str">
        <x:v>Title stat bonus: 10 STR; 20 DEX. These numbers are title ATTRIBUTES, not skill-point costs. Career-guide progression is based on learned skills.</x:v>
      </x:c>
      <x:c r="O30" s="24" t="str">
        <x:v>https://www.scribd.com/document/501357601/Durango-Wildlands-Mastersheet</x:v>
      </x:c>
    </x:row>
    <x:row r="31" ht="30" customHeight="1">
      <x:c r="A31" s="24" t="str">
        <x:v>DW-T0069</x:v>
      </x:c>
      <x:c r="B31" s="24" t="str">
        <x:v>Career guides</x:v>
      </x:c>
      <x:c r="C31" s="24" t="str">
        <x:v>Tailoring 101</x:v>
      </x:c>
      <x:c r="D31" s="24" t="str">
        <x:v>Tailoring / Basics</x:v>
      </x:c>
      <x:c r="E31" s="24" t="str">
        <x:v>Career Guide UI</x:v>
      </x:c>
      <x:c r="F31" s="24" t="str">
        <x:v>Complete the matching Career Guide skill-learning checklist; individual requirements mostly unarchived.</x:v>
      </x:c>
      <x:c r="G31" s="24" t="str"/>
      <x:c r="H31" s="24"/>
      <x:c r="I31" s="24"/>
      <x:c r="J31" s="24" t="str">
        <x:v>Unlock title 'Tailoring 101'; Tailoring Ability +1</x:v>
      </x:c>
      <x:c r="K31" s="24" t="str">
        <x:v>One-time</x:v>
      </x:c>
      <x:c r="L31" s="24" t="str">
        <x:v>Named &amp; sourced; checklist missing</x:v>
      </x:c>
      <x:c r="M31" s="24" t="str">
        <x:v>Yes</x:v>
      </x:c>
      <x:c r="N31" s="24" t="str">
        <x:v>Title stat bonus: 3 CHA; 7 DEX. These numbers are title ATTRIBUTES, not skill-point costs. Career-guide progression is based on learned skills.</x:v>
      </x:c>
      <x:c r="O31" s="24" t="str">
        <x:v>https://www.scribd.com/document/501357601/Durango-Wildlands-Mastersheet</x:v>
      </x:c>
    </x:row>
    <x:row r="32" ht="30" customHeight="1">
      <x:c r="A32" s="24" t="str">
        <x:v>DW-T0070</x:v>
      </x:c>
      <x:c r="B32" s="24" t="str">
        <x:v>Career guides</x:v>
      </x:c>
      <x:c r="C32" s="24" t="str">
        <x:v>Tailoring Materials and You</x:v>
      </x:c>
      <x:c r="D32" s="24" t="str">
        <x:v>Tailoring / Basics</x:v>
      </x:c>
      <x:c r="E32" s="24" t="str">
        <x:v>Career Guide UI</x:v>
      </x:c>
      <x:c r="F32" s="24" t="str">
        <x:v>Complete the matching Career Guide skill-learning checklist; individual requirements mostly unarchived.</x:v>
      </x:c>
      <x:c r="G32" s="24" t="str"/>
      <x:c r="H32" s="24"/>
      <x:c r="I32" s="24"/>
      <x:c r="J32" s="24" t="str">
        <x:v>Unlock title 'Tailoring Materials and You'; Tailoring Ability +2</x:v>
      </x:c>
      <x:c r="K32" s="24" t="str">
        <x:v>One-time</x:v>
      </x:c>
      <x:c r="L32" s="24" t="str">
        <x:v>Named &amp; sourced; checklist missing</x:v>
      </x:c>
      <x:c r="M32" s="24" t="str">
        <x:v>Yes</x:v>
      </x:c>
      <x:c r="N32" s="24" t="str">
        <x:v>Title stat bonus: 5 CHA; 10 DEX. These numbers are title ATTRIBUTES, not skill-point costs. Career-guide progression is based on learned skills.</x:v>
      </x:c>
      <x:c r="O32" s="24" t="str">
        <x:v>https://www.scribd.com/document/501357601/Durango-Wildlands-Mastersheet</x:v>
      </x:c>
    </x:row>
    <x:row r="33" ht="30" customHeight="1">
      <x:c r="A33" s="24" t="str">
        <x:v>DW-T0071</x:v>
      </x:c>
      <x:c r="B33" s="24" t="str">
        <x:v>Career guides</x:v>
      </x:c>
      <x:c r="C33" s="24" t="str">
        <x:v>Settler Fashion: General Sociology</x:v>
      </x:c>
      <x:c r="D33" s="24" t="str">
        <x:v>Tailoring / Settler's Gear</x:v>
      </x:c>
      <x:c r="E33" s="24" t="str">
        <x:v>Career Guide UI</x:v>
      </x:c>
      <x:c r="F33" s="24" t="str">
        <x:v>Complete the matching Career Guide skill-learning checklist; individual requirements mostly unarchived.</x:v>
      </x:c>
      <x:c r="G33" s="24" t="str"/>
      <x:c r="H33" s="24"/>
      <x:c r="I33" s="24"/>
      <x:c r="J33" s="24" t="str">
        <x:v>Unlock title 'Settler Fashion: General Sociology'; Sewing Ability +3</x:v>
      </x:c>
      <x:c r="K33" s="24" t="str">
        <x:v>One-time</x:v>
      </x:c>
      <x:c r="L33" s="24" t="str">
        <x:v>Named &amp; sourced; checklist missing</x:v>
      </x:c>
      <x:c r="M33" s="24" t="str">
        <x:v>Yes</x:v>
      </x:c>
      <x:c r="N33" s="24" t="str">
        <x:v>Title stat bonus: 8 CHA; 15 DEX. These numbers are title ATTRIBUTES, not skill-point costs. Career-guide progression is based on learned skills.</x:v>
      </x:c>
      <x:c r="O33" s="24" t="str">
        <x:v>https://www.scribd.com/document/501357601/Durango-Wildlands-Mastersheet</x:v>
      </x:c>
    </x:row>
    <x:row r="34" ht="30" customHeight="1">
      <x:c r="A34" s="24" t="str">
        <x:v>DW-T0072</x:v>
      </x:c>
      <x:c r="B34" s="24" t="str">
        <x:v>Career guides</x:v>
      </x:c>
      <x:c r="C34" s="24" t="str">
        <x:v>Settler Fashion: Social Dynamics</x:v>
      </x:c>
      <x:c r="D34" s="24" t="str">
        <x:v>Tailoring / Settler's Gear</x:v>
      </x:c>
      <x:c r="E34" s="24" t="str">
        <x:v>Career Guide UI</x:v>
      </x:c>
      <x:c r="F34" s="24" t="str">
        <x:v>Complete the matching Career Guide skill-learning checklist; individual requirements mostly unarchived.</x:v>
      </x:c>
      <x:c r="G34" s="24" t="str"/>
      <x:c r="H34" s="24"/>
      <x:c r="I34" s="24"/>
      <x:c r="J34" s="24" t="str">
        <x:v>Unlock title 'Settler Fashion: Social Dynamics'; Sewing Ability +4</x:v>
      </x:c>
      <x:c r="K34" s="24" t="str">
        <x:v>One-time</x:v>
      </x:c>
      <x:c r="L34" s="24" t="str">
        <x:v>Named &amp; sourced; checklist missing</x:v>
      </x:c>
      <x:c r="M34" s="24" t="str">
        <x:v>Yes</x:v>
      </x:c>
      <x:c r="N34" s="24" t="str">
        <x:v>Title stat bonus: 10 CHA; 20 DEX. These numbers are title ATTRIBUTES, not skill-point costs. Career-guide progression is based on learned skills.</x:v>
      </x:c>
      <x:c r="O34" s="24" t="str">
        <x:v>https://www.scribd.com/document/501357601/Durango-Wildlands-Mastersheet</x:v>
      </x:c>
    </x:row>
    <x:row r="35" ht="30" customHeight="1">
      <x:c r="A35" s="24" t="str">
        <x:v>DW-T0073</x:v>
      </x:c>
      <x:c r="B35" s="24" t="str">
        <x:v>Career guides</x:v>
      </x:c>
      <x:c r="C35" s="24" t="str">
        <x:v>Pioneer Fashion: Clothes and Geography</x:v>
      </x:c>
      <x:c r="D35" s="24" t="str">
        <x:v>Tailoring / Exploration Gear</x:v>
      </x:c>
      <x:c r="E35" s="24" t="str">
        <x:v>Career Guide UI</x:v>
      </x:c>
      <x:c r="F35" s="24" t="str">
        <x:v>Complete the matching Career Guide skill-learning checklist; individual requirements mostly unarchived.</x:v>
      </x:c>
      <x:c r="G35" s="24" t="str"/>
      <x:c r="H35" s="24"/>
      <x:c r="I35" s="24"/>
      <x:c r="J35" s="24" t="str">
        <x:v>Unlock title 'Pioneer Fashion: Clothes and Geography'; Tailoring Ability +3</x:v>
      </x:c>
      <x:c r="K35" s="24" t="str">
        <x:v>One-time</x:v>
      </x:c>
      <x:c r="L35" s="24" t="str">
        <x:v>Named &amp; sourced; checklist missing</x:v>
      </x:c>
      <x:c r="M35" s="24" t="str">
        <x:v>Yes</x:v>
      </x:c>
      <x:c r="N35" s="24" t="str">
        <x:v>Title stat bonus: 23 DEX. These numbers are title ATTRIBUTES, not skill-point costs. Career-guide progression is based on learned skills.</x:v>
      </x:c>
      <x:c r="O35" s="24" t="str">
        <x:v>https://www.scribd.com/document/501357601/Durango-Wildlands-Mastersheet</x:v>
      </x:c>
    </x:row>
    <x:row r="36" ht="30" customHeight="1">
      <x:c r="A36" s="24" t="str">
        <x:v>DW-T0074</x:v>
      </x:c>
      <x:c r="B36" s="24" t="str">
        <x:v>Career guides</x:v>
      </x:c>
      <x:c r="C36" s="24" t="str">
        <x:v>Pioneer Fashion: Clothes and Climate</x:v>
      </x:c>
      <x:c r="D36" s="24" t="str">
        <x:v>Tailoring / Exploration Gear</x:v>
      </x:c>
      <x:c r="E36" s="24" t="str">
        <x:v>Career Guide UI</x:v>
      </x:c>
      <x:c r="F36" s="24" t="str">
        <x:v>Complete the matching Career Guide skill-learning checklist; individual requirements mostly unarchived.</x:v>
      </x:c>
      <x:c r="G36" s="24" t="str"/>
      <x:c r="H36" s="24"/>
      <x:c r="I36" s="24"/>
      <x:c r="J36" s="24" t="str">
        <x:v>Unlock title 'Pioneer Fashion: Clothes and Climate'; Tailoring Ability +4</x:v>
      </x:c>
      <x:c r="K36" s="24" t="str">
        <x:v>One-time</x:v>
      </x:c>
      <x:c r="L36" s="24" t="str">
        <x:v>Named &amp; sourced; checklist missing</x:v>
      </x:c>
      <x:c r="M36" s="24" t="str">
        <x:v>Yes</x:v>
      </x:c>
      <x:c r="N36" s="24" t="str">
        <x:v>Title stat bonus: 30 DEX. These numbers are title ATTRIBUTES, not skill-point costs. Career-guide progression is based on learned skills.</x:v>
      </x:c>
      <x:c r="O36" s="24" t="str">
        <x:v>https://www.scribd.com/document/501357601/Durango-Wildlands-Mastersheet</x:v>
      </x:c>
    </x:row>
    <x:row r="37" ht="30" customHeight="1">
      <x:c r="A37" s="24" t="str">
        <x:v>DW-T0075</x:v>
      </x:c>
      <x:c r="B37" s="24" t="str">
        <x:v>Career guides</x:v>
      </x:c>
      <x:c r="C37" s="24" t="str">
        <x:v>Warrior Fashion: The History of War</x:v>
      </x:c>
      <x:c r="D37" s="24" t="str">
        <x:v>Tailoring / Hunting Gear</x:v>
      </x:c>
      <x:c r="E37" s="24" t="str">
        <x:v>Career Guide UI</x:v>
      </x:c>
      <x:c r="F37" s="24" t="str">
        <x:v>Complete the matching Career Guide skill-learning checklist; individual requirements mostly unarchived.</x:v>
      </x:c>
      <x:c r="G37" s="24" t="str"/>
      <x:c r="H37" s="24"/>
      <x:c r="I37" s="24"/>
      <x:c r="J37" s="24" t="str">
        <x:v>Unlock title 'Warrior Fashion: The History of War'; Handicraft Ability +3</x:v>
      </x:c>
      <x:c r="K37" s="24" t="str">
        <x:v>One-time</x:v>
      </x:c>
      <x:c r="L37" s="24" t="str">
        <x:v>Named &amp; sourced; checklist missing</x:v>
      </x:c>
      <x:c r="M37" s="24" t="str">
        <x:v>Yes</x:v>
      </x:c>
      <x:c r="N37" s="24" t="str">
        <x:v>Title stat bonus: 15 DEX; 8 WIL. These numbers are title ATTRIBUTES, not skill-point costs. Career-guide progression is based on learned skills.</x:v>
      </x:c>
      <x:c r="O37" s="24" t="str">
        <x:v>https://www.scribd.com/document/501357601/Durango-Wildlands-Mastersheet</x:v>
      </x:c>
    </x:row>
    <x:row r="38" ht="30" customHeight="1">
      <x:c r="A38" s="24" t="str">
        <x:v>DW-T0076</x:v>
      </x:c>
      <x:c r="B38" s="24" t="str">
        <x:v>Career guides</x:v>
      </x:c>
      <x:c r="C38" s="24" t="str">
        <x:v>Warrior Fashion: National Security</x:v>
      </x:c>
      <x:c r="D38" s="24" t="str">
        <x:v>Tailoring / Hunting Gear</x:v>
      </x:c>
      <x:c r="E38" s="24" t="str">
        <x:v>Career Guide UI</x:v>
      </x:c>
      <x:c r="F38" s="24" t="str">
        <x:v>Complete the matching Career Guide skill-learning checklist; individual requirements mostly unarchived.</x:v>
      </x:c>
      <x:c r="G38" s="24" t="str"/>
      <x:c r="H38" s="24"/>
      <x:c r="I38" s="24"/>
      <x:c r="J38" s="24" t="str">
        <x:v>Unlock title 'Warrior Fashion: National Security'; Handicraft Ability +4</x:v>
      </x:c>
      <x:c r="K38" s="24" t="str">
        <x:v>One-time</x:v>
      </x:c>
      <x:c r="L38" s="24" t="str">
        <x:v>Named &amp; sourced; checklist missing</x:v>
      </x:c>
      <x:c r="M38" s="24" t="str">
        <x:v>Yes</x:v>
      </x:c>
      <x:c r="N38" s="24" t="str">
        <x:v>Title stat bonus: 20 DEX; 10 WIL. These numbers are title ATTRIBUTES, not skill-point costs. Career-guide progression is based on learned skills.</x:v>
      </x:c>
      <x:c r="O38" s="24" t="str">
        <x:v>https://www.scribd.com/document/501357601/Durango-Wildlands-Mastersheet</x:v>
      </x:c>
    </x:row>
    <x:row r="39" ht="30" customHeight="1">
      <x:c r="A39" s="24" t="str">
        <x:v>DW-T0077</x:v>
      </x:c>
      <x:c r="B39" s="24" t="str">
        <x:v>Career guides</x:v>
      </x:c>
      <x:c r="C39" s="24" t="str">
        <x:v>Nature's Pantry</x:v>
      </x:c>
      <x:c r="D39" s="24" t="str">
        <x:v>Cooking / Basics</x:v>
      </x:c>
      <x:c r="E39" s="24" t="str">
        <x:v>Career Guide UI</x:v>
      </x:c>
      <x:c r="F39" s="24" t="str">
        <x:v>Complete the matching Career Guide skill-learning checklist; individual requirements mostly unarchived.</x:v>
      </x:c>
      <x:c r="G39" s="24" t="str"/>
      <x:c r="H39" s="24"/>
      <x:c r="I39" s="24"/>
      <x:c r="J39" s="24" t="str">
        <x:v>Unlock title 'Nature's Pantry'; Cooking Ability +1</x:v>
      </x:c>
      <x:c r="K39" s="24" t="str">
        <x:v>One-time</x:v>
      </x:c>
      <x:c r="L39" s="24" t="str">
        <x:v>Named &amp; sourced; checklist missing</x:v>
      </x:c>
      <x:c r="M39" s="24" t="str">
        <x:v>Yes</x:v>
      </x:c>
      <x:c r="N39" s="24" t="str">
        <x:v>Title stat bonus: 7 CHA; 3 INT. These numbers are title ATTRIBUTES, not skill-point costs. Career-guide progression is based on learned skills.</x:v>
      </x:c>
      <x:c r="O39" s="24" t="str">
        <x:v>https://www.scribd.com/document/501357601/Durango-Wildlands-Mastersheet</x:v>
      </x:c>
    </x:row>
    <x:row r="40" ht="30" customHeight="1">
      <x:c r="A40" s="24" t="str">
        <x:v>DW-T0078</x:v>
      </x:c>
      <x:c r="B40" s="24" t="str">
        <x:v>Career guides</x:v>
      </x:c>
      <x:c r="C40" s="24" t="str">
        <x:v>Culinary Logistics</x:v>
      </x:c>
      <x:c r="D40" s="24" t="str">
        <x:v>Cooking / Basics</x:v>
      </x:c>
      <x:c r="E40" s="24" t="str">
        <x:v>Career Guide UI</x:v>
      </x:c>
      <x:c r="F40" s="24" t="str">
        <x:v>Complete the matching Career Guide skill-learning checklist; individual requirements mostly unarchived.</x:v>
      </x:c>
      <x:c r="G40" s="24" t="str"/>
      <x:c r="H40" s="24"/>
      <x:c r="I40" s="24"/>
      <x:c r="J40" s="24" t="str">
        <x:v>Unlock title 'Culinary Logistics'; Cooking Ability +2</x:v>
      </x:c>
      <x:c r="K40" s="24" t="str">
        <x:v>One-time</x:v>
      </x:c>
      <x:c r="L40" s="24" t="str">
        <x:v>Named &amp; sourced; checklist missing</x:v>
      </x:c>
      <x:c r="M40" s="24" t="str">
        <x:v>Yes</x:v>
      </x:c>
      <x:c r="N40" s="24" t="str">
        <x:v>Title stat bonus: 10 CHA; 5 INT. These numbers are title ATTRIBUTES, not skill-point costs. Career-guide progression is based on learned skills.</x:v>
      </x:c>
      <x:c r="O40" s="24" t="str">
        <x:v>https://www.scribd.com/document/501357601/Durango-Wildlands-Mastersheet</x:v>
      </x:c>
    </x:row>
    <x:row r="41" ht="30" customHeight="1">
      <x:c r="A41" s="24" t="str">
        <x:v>DW-T0079</x:v>
      </x:c>
      <x:c r="B41" s="24" t="str">
        <x:v>Career guides</x:v>
      </x:c>
      <x:c r="C41" s="24" t="str">
        <x:v>Cuisine Culture</x:v>
      </x:c>
      <x:c r="D41" s="24" t="str">
        <x:v>Cooking / Cooking</x:v>
      </x:c>
      <x:c r="E41" s="24" t="str">
        <x:v>Career Guide UI</x:v>
      </x:c>
      <x:c r="F41" s="24" t="str">
        <x:v>Complete the matching Career Guide skill-learning checklist; individual requirements mostly unarchived.</x:v>
      </x:c>
      <x:c r="G41" s="24" t="str"/>
      <x:c r="H41" s="24"/>
      <x:c r="I41" s="24"/>
      <x:c r="J41" s="24" t="str">
        <x:v>Unlock title 'Cuisine Culture'; Cooking Ability +3</x:v>
      </x:c>
      <x:c r="K41" s="24" t="str">
        <x:v>One-time</x:v>
      </x:c>
      <x:c r="L41" s="24" t="str">
        <x:v>Named &amp; sourced; checklist missing</x:v>
      </x:c>
      <x:c r="M41" s="24" t="str">
        <x:v>Yes</x:v>
      </x:c>
      <x:c r="N41" s="24" t="str">
        <x:v>Title stat bonus: 23 CHA. These numbers are title ATTRIBUTES, not skill-point costs. Career-guide progression is based on learned skills.</x:v>
      </x:c>
      <x:c r="O41" s="24" t="str">
        <x:v>https://www.scribd.com/document/501357601/Durango-Wildlands-Mastersheet</x:v>
      </x:c>
    </x:row>
    <x:row r="42" ht="30" customHeight="1">
      <x:c r="A42" s="24" t="str">
        <x:v>DW-T0080</x:v>
      </x:c>
      <x:c r="B42" s="24" t="str">
        <x:v>Career guides</x:v>
      </x:c>
      <x:c r="C42" s="24" t="str">
        <x:v>Kitchen Management</x:v>
      </x:c>
      <x:c r="D42" s="24" t="str">
        <x:v>Cooking / Cooking</x:v>
      </x:c>
      <x:c r="E42" s="24" t="str">
        <x:v>Career Guide UI</x:v>
      </x:c>
      <x:c r="F42" s="24" t="str">
        <x:v>Complete the matching Career Guide skill-learning checklist; individual requirements mostly unarchived.</x:v>
      </x:c>
      <x:c r="G42" s="24" t="str"/>
      <x:c r="H42" s="24"/>
      <x:c r="I42" s="24"/>
      <x:c r="J42" s="24" t="str">
        <x:v>Unlock title 'Kitchen Management'; Cooking Ability +4</x:v>
      </x:c>
      <x:c r="K42" s="24" t="str">
        <x:v>One-time</x:v>
      </x:c>
      <x:c r="L42" s="24" t="str">
        <x:v>Named &amp; sourced; checklist missing</x:v>
      </x:c>
      <x:c r="M42" s="24" t="str">
        <x:v>Yes</x:v>
      </x:c>
      <x:c r="N42" s="24" t="str">
        <x:v>Title stat bonus: 30 CHA. These numbers are title ATTRIBUTES, not skill-point costs. Career-guide progression is based on learned skills.</x:v>
      </x:c>
      <x:c r="O42" s="24" t="str">
        <x:v>https://www.scribd.com/document/501357601/Durango-Wildlands-Mastersheet</x:v>
      </x:c>
    </x:row>
    <x:row r="43" ht="30" customHeight="1">
      <x:c r="A43" s="24" t="str">
        <x:v>DW-T0081</x:v>
      </x:c>
      <x:c r="B43" s="24" t="str">
        <x:v>Career guides</x:v>
      </x:c>
      <x:c r="C43" s="24" t="str">
        <x:v>Fresh Baked Fundamentals</x:v>
      </x:c>
      <x:c r="D43" s="24" t="str">
        <x:v>Cooking / Baking</x:v>
      </x:c>
      <x:c r="E43" s="24" t="str">
        <x:v>Career Guide UI</x:v>
      </x:c>
      <x:c r="F43" s="24" t="str">
        <x:v>Complete the matching Career Guide skill-learning checklist; individual requirements mostly unarchived.</x:v>
      </x:c>
      <x:c r="G43" s="24" t="str"/>
      <x:c r="H43" s="24"/>
      <x:c r="I43" s="24"/>
      <x:c r="J43" s="24" t="str">
        <x:v>Unlock title 'Fresh Baked Fundamentals'; Cooking Ability +3</x:v>
      </x:c>
      <x:c r="K43" s="24" t="str">
        <x:v>One-time</x:v>
      </x:c>
      <x:c r="L43" s="24" t="str">
        <x:v>Named &amp; sourced; checklist missing</x:v>
      </x:c>
      <x:c r="M43" s="24" t="str">
        <x:v>Yes</x:v>
      </x:c>
      <x:c r="N43" s="24" t="str">
        <x:v>Title stat bonus: 15 CHA; 8 INT. These numbers are title ATTRIBUTES, not skill-point costs. Career-guide progression is based on learned skills.</x:v>
      </x:c>
      <x:c r="O43" s="24" t="str">
        <x:v>https://www.scribd.com/document/501357601/Durango-Wildlands-Mastersheet</x:v>
      </x:c>
    </x:row>
    <x:row r="44" ht="30" customHeight="1">
      <x:c r="A44" s="24" t="str">
        <x:v>DW-T0082</x:v>
      </x:c>
      <x:c r="B44" s="24" t="str">
        <x:v>Career guides</x:v>
      </x:c>
      <x:c r="C44" s="24" t="str">
        <x:v>Fresh Baked Bliss</x:v>
      </x:c>
      <x:c r="D44" s="24" t="str">
        <x:v>Cooking / Baking</x:v>
      </x:c>
      <x:c r="E44" s="24" t="str">
        <x:v>Career Guide UI</x:v>
      </x:c>
      <x:c r="F44" s="24" t="str">
        <x:v>Complete the matching Career Guide skill-learning checklist; individual requirements mostly unarchived.</x:v>
      </x:c>
      <x:c r="G44" s="24" t="str"/>
      <x:c r="H44" s="24"/>
      <x:c r="I44" s="24"/>
      <x:c r="J44" s="24" t="str">
        <x:v>Unlock title 'Fresh Baked Bliss'; Cooking Ability +4</x:v>
      </x:c>
      <x:c r="K44" s="24" t="str">
        <x:v>One-time</x:v>
      </x:c>
      <x:c r="L44" s="24" t="str">
        <x:v>Named &amp; sourced; checklist missing</x:v>
      </x:c>
      <x:c r="M44" s="24" t="str">
        <x:v>Yes</x:v>
      </x:c>
      <x:c r="N44" s="24" t="str">
        <x:v>Title stat bonus: 20 CHA; 10 INT. These numbers are title ATTRIBUTES, not skill-point costs. Career-guide progression is based on learned skills.</x:v>
      </x:c>
      <x:c r="O44" s="24" t="str">
        <x:v>https://www.scribd.com/document/501357601/Durango-Wildlands-Mastersheet</x:v>
      </x:c>
    </x:row>
    <x:row r="45" ht="30" customHeight="1">
      <x:c r="A45" s="24" t="str">
        <x:v>DW-T0083</x:v>
      </x:c>
      <x:c r="B45" s="24" t="str">
        <x:v>Career guides</x:v>
      </x:c>
      <x:c r="C45" s="24" t="str">
        <x:v>Fun with Pharmaceuticals</x:v>
      </x:c>
      <x:c r="D45" s="24" t="str">
        <x:v>Cooking / Medicine</x:v>
      </x:c>
      <x:c r="E45" s="24" t="str">
        <x:v>Career Guide UI</x:v>
      </x:c>
      <x:c r="F45" s="24" t="str">
        <x:v>Complete the matching Career Guide skill-learning checklist; individual requirements mostly unarchived.</x:v>
      </x:c>
      <x:c r="G45" s="24" t="str"/>
      <x:c r="H45" s="24"/>
      <x:c r="I45" s="24"/>
      <x:c r="J45" s="24" t="str">
        <x:v>Unlock title 'Fun with Pharmaceuticals'; Max Energy +20</x:v>
      </x:c>
      <x:c r="K45" s="24" t="str">
        <x:v>One-time</x:v>
      </x:c>
      <x:c r="L45" s="24" t="str">
        <x:v>Named &amp; sourced; checklist missing</x:v>
      </x:c>
      <x:c r="M45" s="24" t="str">
        <x:v>Yes</x:v>
      </x:c>
      <x:c r="N45" s="24" t="str">
        <x:v>Title stat bonus: 8 DEX; 15 INT. These numbers are title ATTRIBUTES, not skill-point costs. Career-guide progression is based on learned skills.</x:v>
      </x:c>
      <x:c r="O45" s="24" t="str">
        <x:v>https://www.scribd.com/document/501357601/Durango-Wildlands-Mastersheet</x:v>
      </x:c>
    </x:row>
    <x:row r="46" ht="30" customHeight="1">
      <x:c r="A46" s="24" t="str">
        <x:v>DW-T0084</x:v>
      </x:c>
      <x:c r="B46" s="24" t="str">
        <x:v>Career guides</x:v>
      </x:c>
      <x:c r="C46" s="24" t="str">
        <x:v>Herbal Remedies</x:v>
      </x:c>
      <x:c r="D46" s="24" t="str">
        <x:v>Cooking / Medicine</x:v>
      </x:c>
      <x:c r="E46" s="24" t="str">
        <x:v>Career Guide UI</x:v>
      </x:c>
      <x:c r="F46" s="24" t="str">
        <x:v>Complete the matching Career Guide skill-learning checklist; individual requirements mostly unarchived.</x:v>
      </x:c>
      <x:c r="G46" s="24" t="str"/>
      <x:c r="H46" s="24"/>
      <x:c r="I46" s="24"/>
      <x:c r="J46" s="24" t="str">
        <x:v>Unlock title 'Herbal Remedies'; Max Energy +30</x:v>
      </x:c>
      <x:c r="K46" s="24" t="str">
        <x:v>One-time</x:v>
      </x:c>
      <x:c r="L46" s="24" t="str">
        <x:v>Named &amp; sourced; checklist missing</x:v>
      </x:c>
      <x:c r="M46" s="24" t="str">
        <x:v>Yes</x:v>
      </x:c>
      <x:c r="N46" s="24" t="str">
        <x:v>Title stat bonus: 10 DEX; 20 INT. These numbers are title ATTRIBUTES, not skill-point costs. Career-guide progression is based on learned skills.</x:v>
      </x:c>
      <x:c r="O46" s="24" t="str">
        <x:v>https://www.scribd.com/document/501357601/Durango-Wildlands-Mastersheet</x:v>
      </x:c>
    </x:row>
    <x:row r="47" ht="30" customHeight="1">
      <x:c r="A47" s="24" t="str">
        <x:v>DW-T0085</x:v>
      </x:c>
      <x:c r="B47" s="24" t="str">
        <x:v>Career guides</x:v>
      </x:c>
      <x:c r="C47" s="24" t="str">
        <x:v>Natural Architecture</x:v>
      </x:c>
      <x:c r="D47" s="24" t="str">
        <x:v>Living Quarters / Basics</x:v>
      </x:c>
      <x:c r="E47" s="24" t="str">
        <x:v>Career Guide UI</x:v>
      </x:c>
      <x:c r="F47" s="24" t="str">
        <x:v>Complete the matching Career Guide skill-learning checklist; individual requirements mostly unarchived.</x:v>
      </x:c>
      <x:c r="G47" s="24" t="str"/>
      <x:c r="H47" s="24"/>
      <x:c r="I47" s="24"/>
      <x:c r="J47" s="24" t="str">
        <x:v>Unlock title 'Natural Architecture'; Furniture Crafting Ability +1</x:v>
      </x:c>
      <x:c r="K47" s="24" t="str">
        <x:v>One-time</x:v>
      </x:c>
      <x:c r="L47" s="24" t="str">
        <x:v>Named &amp; sourced; checklist missing</x:v>
      </x:c>
      <x:c r="M47" s="24" t="str">
        <x:v>Yes</x:v>
      </x:c>
      <x:c r="N47" s="24" t="str">
        <x:v>Title stat bonus: 7 END; 3 INT. These numbers are title ATTRIBUTES, not skill-point costs. Career-guide progression is based on learned skills.</x:v>
      </x:c>
      <x:c r="O47" s="24" t="str">
        <x:v>https://www.scribd.com/document/501357601/Durango-Wildlands-Mastersheet</x:v>
      </x:c>
    </x:row>
    <x:row r="48" ht="30" customHeight="1">
      <x:c r="A48" s="24" t="str">
        <x:v>DW-T0086</x:v>
      </x:c>
      <x:c r="B48" s="24" t="str">
        <x:v>Career guides</x:v>
      </x:c>
      <x:c r="C48" s="24" t="str">
        <x:v>Architecture 101</x:v>
      </x:c>
      <x:c r="D48" s="24" t="str">
        <x:v>Living Quarters / Basics</x:v>
      </x:c>
      <x:c r="E48" s="24" t="str">
        <x:v>Career Guide UI</x:v>
      </x:c>
      <x:c r="F48" s="24" t="str">
        <x:v>Complete the matching Career Guide skill-learning checklist; individual requirements mostly unarchived.</x:v>
      </x:c>
      <x:c r="G48" s="24" t="str"/>
      <x:c r="H48" s="24"/>
      <x:c r="I48" s="24"/>
      <x:c r="J48" s="24" t="str">
        <x:v>Unlock title 'Architecture 101'; Furniture Crafting Ability +2</x:v>
      </x:c>
      <x:c r="K48" s="24" t="str">
        <x:v>One-time</x:v>
      </x:c>
      <x:c r="L48" s="24" t="str">
        <x:v>Named &amp; sourced; checklist missing</x:v>
      </x:c>
      <x:c r="M48" s="24" t="str">
        <x:v>Yes</x:v>
      </x:c>
      <x:c r="N48" s="24" t="str">
        <x:v>Title stat bonus: 10 END; 5 INT. These numbers are title ATTRIBUTES, not skill-point costs. Career-guide progression is based on learned skills.</x:v>
      </x:c>
      <x:c r="O48" s="24" t="str">
        <x:v>https://www.scribd.com/document/501357601/Durango-Wildlands-Mastersheet</x:v>
      </x:c>
    </x:row>
    <x:row r="49" ht="30" customHeight="1">
      <x:c r="A49" s="24" t="str">
        <x:v>DW-T0087</x:v>
      </x:c>
      <x:c r="B49" s="24" t="str">
        <x:v>Career guides</x:v>
      </x:c>
      <x:c r="C49" s="24" t="str">
        <x:v>Fabricating Furniture</x:v>
      </x:c>
      <x:c r="D49" s="24" t="str">
        <x:v>Living Quarters / Furniture Crafting</x:v>
      </x:c>
      <x:c r="E49" s="24" t="str">
        <x:v>Career Guide UI</x:v>
      </x:c>
      <x:c r="F49" s="24" t="str">
        <x:v>Complete the matching Career Guide skill-learning checklist; individual requirements mostly unarchived.</x:v>
      </x:c>
      <x:c r="G49" s="24" t="str"/>
      <x:c r="H49" s="24"/>
      <x:c r="I49" s="24"/>
      <x:c r="J49" s="24" t="str">
        <x:v>Unlock title 'Fabricating Furniture'; Furniture Crafting Ability +3</x:v>
      </x:c>
      <x:c r="K49" s="24" t="str">
        <x:v>One-time</x:v>
      </x:c>
      <x:c r="L49" s="24" t="str">
        <x:v>Named &amp; sourced; checklist missing</x:v>
      </x:c>
      <x:c r="M49" s="24" t="str">
        <x:v>Yes</x:v>
      </x:c>
      <x:c r="N49" s="24" t="str">
        <x:v>Title stat bonus: 23 INT. These numbers are title ATTRIBUTES, not skill-point costs. Career-guide progression is based on learned skills.</x:v>
      </x:c>
      <x:c r="O49" s="24" t="str">
        <x:v>https://www.scribd.com/document/501357601/Durango-Wildlands-Mastersheet</x:v>
      </x:c>
    </x:row>
    <x:row r="50" ht="30" customHeight="1">
      <x:c r="A50" s="24" t="str">
        <x:v>DW-T0088</x:v>
      </x:c>
      <x:c r="B50" s="24" t="str">
        <x:v>Career guides</x:v>
      </x:c>
      <x:c r="C50" s="24" t="str">
        <x:v>Furniture Design</x:v>
      </x:c>
      <x:c r="D50" s="24" t="str">
        <x:v>Living Quarters / Furniture Crafting</x:v>
      </x:c>
      <x:c r="E50" s="24" t="str">
        <x:v>Career Guide UI</x:v>
      </x:c>
      <x:c r="F50" s="24" t="str">
        <x:v>Complete the matching Career Guide skill-learning checklist; individual requirements mostly unarchived.</x:v>
      </x:c>
      <x:c r="G50" s="24" t="str"/>
      <x:c r="H50" s="24"/>
      <x:c r="I50" s="24"/>
      <x:c r="J50" s="24" t="str">
        <x:v>Unlock title 'Furniture Design'; Furniture Crafting Ability +4</x:v>
      </x:c>
      <x:c r="K50" s="24" t="str">
        <x:v>One-time</x:v>
      </x:c>
      <x:c r="L50" s="24" t="str">
        <x:v>Named &amp; sourced; checklist missing</x:v>
      </x:c>
      <x:c r="M50" s="24" t="str">
        <x:v>Yes</x:v>
      </x:c>
      <x:c r="N50" s="24" t="str">
        <x:v>Title stat bonus: 30 INT. These numbers are title ATTRIBUTES, not skill-point costs. Career-guide progression is based on learned skills.</x:v>
      </x:c>
      <x:c r="O50" s="24" t="str">
        <x:v>https://www.scribd.com/document/501357601/Durango-Wildlands-Mastersheet</x:v>
      </x:c>
    </x:row>
    <x:row r="51" ht="30" customHeight="1">
      <x:c r="A51" s="24" t="str">
        <x:v>DW-T0089</x:v>
      </x:c>
      <x:c r="B51" s="24" t="str">
        <x:v>Career guides</x:v>
      </x:c>
      <x:c r="C51" s="24" t="str">
        <x:v>Municipal Regulations</x:v>
      </x:c>
      <x:c r="D51" s="24" t="str">
        <x:v>Living Quarters / Infrastructure</x:v>
      </x:c>
      <x:c r="E51" s="24" t="str">
        <x:v>Career Guide UI</x:v>
      </x:c>
      <x:c r="F51" s="24" t="str">
        <x:v>Complete the matching Career Guide skill-learning checklist; individual requirements mostly unarchived.</x:v>
      </x:c>
      <x:c r="G51" s="24" t="str"/>
      <x:c r="H51" s="24"/>
      <x:c r="I51" s="24"/>
      <x:c r="J51" s="24" t="str">
        <x:v>Unlock title 'Municipal Regulations'; Building Ability +3</x:v>
      </x:c>
      <x:c r="K51" s="24" t="str">
        <x:v>One-time</x:v>
      </x:c>
      <x:c r="L51" s="24" t="str">
        <x:v>Named &amp; sourced; checklist missing</x:v>
      </x:c>
      <x:c r="M51" s="24" t="str">
        <x:v>Yes</x:v>
      </x:c>
      <x:c r="N51" s="24" t="str">
        <x:v>Title stat bonus: 8 END; 15 INT. These numbers are title ATTRIBUTES, not skill-point costs. Career-guide progression is based on learned skills.</x:v>
      </x:c>
      <x:c r="O51" s="24" t="str">
        <x:v>https://www.scribd.com/document/501357601/Durango-Wildlands-Mastersheet</x:v>
      </x:c>
    </x:row>
    <x:row r="52" ht="30" customHeight="1">
      <x:c r="A52" s="24" t="str">
        <x:v>DW-T0090</x:v>
      </x:c>
      <x:c r="B52" s="24" t="str">
        <x:v>Career guides</x:v>
      </x:c>
      <x:c r="C52" s="24" t="str">
        <x:v>Cultural Urban Architecture</x:v>
      </x:c>
      <x:c r="D52" s="24" t="str">
        <x:v>Living Quarters / Infrastructure</x:v>
      </x:c>
      <x:c r="E52" s="24" t="str">
        <x:v>Career Guide UI</x:v>
      </x:c>
      <x:c r="F52" s="24" t="str">
        <x:v>Complete the matching Career Guide skill-learning checklist; individual requirements mostly unarchived.</x:v>
      </x:c>
      <x:c r="G52" s="24" t="str"/>
      <x:c r="H52" s="24"/>
      <x:c r="I52" s="24"/>
      <x:c r="J52" s="24" t="str">
        <x:v>Unlock title 'Cultural Urban Architecture'; Building Ability +4</x:v>
      </x:c>
      <x:c r="K52" s="24" t="str">
        <x:v>One-time</x:v>
      </x:c>
      <x:c r="L52" s="24" t="str">
        <x:v>Named &amp; sourced; checklist missing</x:v>
      </x:c>
      <x:c r="M52" s="24" t="str">
        <x:v>Yes</x:v>
      </x:c>
      <x:c r="N52" s="24" t="str">
        <x:v>Title stat bonus: 10 END; 20 INT. These numbers are title ATTRIBUTES, not skill-point costs. Career-guide progression is based on learned skills.</x:v>
      </x:c>
      <x:c r="O52" s="24" t="str">
        <x:v>https://www.scribd.com/document/501357601/Durango-Wildlands-Mastersheet</x:v>
      </x:c>
    </x:row>
    <x:row r="53" ht="30" customHeight="1">
      <x:c r="A53" s="24" t="str">
        <x:v>DW-T0091</x:v>
      </x:c>
      <x:c r="B53" s="24" t="str">
        <x:v>Career guides</x:v>
      </x:c>
      <x:c r="C53" s="24" t="str">
        <x:v>The Principles of Horticulture</x:v>
      </x:c>
      <x:c r="D53" s="24" t="str">
        <x:v>Gathering / Basics</x:v>
      </x:c>
      <x:c r="E53" s="24" t="str">
        <x:v>Career Guide UI</x:v>
      </x:c>
      <x:c r="F53" s="24" t="str">
        <x:v>Complete the matching Career Guide skill-learning checklist; individual requirements mostly unarchived.</x:v>
      </x:c>
      <x:c r="G53" s="24" t="str"/>
      <x:c r="H53" s="24"/>
      <x:c r="I53" s="24"/>
      <x:c r="J53" s="24" t="str">
        <x:v>Unlock title 'The Principles of Horticulture'; Plant Gathering Ability +1</x:v>
      </x:c>
      <x:c r="K53" s="24" t="str">
        <x:v>One-time</x:v>
      </x:c>
      <x:c r="L53" s="24" t="str">
        <x:v>Named &amp; sourced; checklist missing</x:v>
      </x:c>
      <x:c r="M53" s="24" t="str">
        <x:v>Yes</x:v>
      </x:c>
      <x:c r="N53" s="24" t="str">
        <x:v>Title stat bonus: 3 DEX; 7 PER. These numbers are title ATTRIBUTES, not skill-point costs. Career-guide progression is based on learned skills.</x:v>
      </x:c>
      <x:c r="O53" s="24" t="str">
        <x:v>https://www.scribd.com/document/501357601/Durango-Wildlands-Mastersheet</x:v>
      </x:c>
    </x:row>
    <x:row r="54" ht="30" customHeight="1">
      <x:c r="A54" s="24" t="str">
        <x:v>DW-T0092</x:v>
      </x:c>
      <x:c r="B54" s="24" t="str">
        <x:v>Career guides</x:v>
      </x:c>
      <x:c r="C54" s="24" t="str">
        <x:v>Horticulture and Biology</x:v>
      </x:c>
      <x:c r="D54" s="24" t="str">
        <x:v>Gathering / Basics</x:v>
      </x:c>
      <x:c r="E54" s="24" t="str">
        <x:v>Career Guide UI</x:v>
      </x:c>
      <x:c r="F54" s="24" t="str">
        <x:v>Complete the matching Career Guide skill-learning checklist; individual requirements mostly unarchived.</x:v>
      </x:c>
      <x:c r="G54" s="24" t="str"/>
      <x:c r="H54" s="24"/>
      <x:c r="I54" s="24"/>
      <x:c r="J54" s="24" t="str">
        <x:v>Unlock title 'Horticulture and Biology'; Plant Gathering Ability +2</x:v>
      </x:c>
      <x:c r="K54" s="24" t="str">
        <x:v>One-time</x:v>
      </x:c>
      <x:c r="L54" s="24" t="str">
        <x:v>Named &amp; sourced; checklist missing</x:v>
      </x:c>
      <x:c r="M54" s="24" t="str">
        <x:v>Yes</x:v>
      </x:c>
      <x:c r="N54" s="24" t="str">
        <x:v>Title stat bonus: 5 DEX; 10 PER. These numbers are title ATTRIBUTES, not skill-point costs. Career-guide progression is based on learned skills.</x:v>
      </x:c>
      <x:c r="O54" s="24" t="str">
        <x:v>https://www.scribd.com/document/501357601/Durango-Wildlands-Mastersheet</x:v>
      </x:c>
    </x:row>
    <x:row r="55" ht="30" customHeight="1">
      <x:c r="A55" s="24" t="str">
        <x:v>DW-T0093</x:v>
      </x:c>
      <x:c r="B55" s="24" t="str">
        <x:v>Career guides</x:v>
      </x:c>
      <x:c r="C55" s="24" t="str">
        <x:v>Applied Botany</x:v>
      </x:c>
      <x:c r="D55" s="24" t="str">
        <x:v>Gathering / Plants</x:v>
      </x:c>
      <x:c r="E55" s="24" t="str">
        <x:v>Career Guide UI</x:v>
      </x:c>
      <x:c r="F55" s="24" t="str">
        <x:v>Complete the matching Career Guide skill-learning checklist; individual requirements mostly unarchived.</x:v>
      </x:c>
      <x:c r="G55" s="24" t="str"/>
      <x:c r="H55" s="24"/>
      <x:c r="I55" s="24"/>
      <x:c r="J55" s="24" t="str">
        <x:v>Unlock title 'Applied Botany'; Plant Gathering Ability +3</x:v>
      </x:c>
      <x:c r="K55" s="24" t="str">
        <x:v>One-time</x:v>
      </x:c>
      <x:c r="L55" s="24" t="str">
        <x:v>Named &amp; sourced; checklist missing</x:v>
      </x:c>
      <x:c r="M55" s="24" t="str">
        <x:v>Yes</x:v>
      </x:c>
      <x:c r="N55" s="24" t="str">
        <x:v>Title stat bonus: 23 PER. These numbers are title ATTRIBUTES, not skill-point costs. Career-guide progression is based on learned skills.</x:v>
      </x:c>
      <x:c r="O55" s="24" t="str">
        <x:v>https://www.scribd.com/document/501357601/Durango-Wildlands-Mastersheet</x:v>
      </x:c>
    </x:row>
    <x:row r="56" ht="30" customHeight="1">
      <x:c r="A56" s="24" t="str">
        <x:v>DW-T0094</x:v>
      </x:c>
      <x:c r="B56" s="24" t="str">
        <x:v>Career guides</x:v>
      </x:c>
      <x:c r="C56" s="24" t="str">
        <x:v>Forest Ecology</x:v>
      </x:c>
      <x:c r="D56" s="24" t="str">
        <x:v>Gathering / Plants</x:v>
      </x:c>
      <x:c r="E56" s="24" t="str">
        <x:v>Career Guide UI</x:v>
      </x:c>
      <x:c r="F56" s="24" t="str">
        <x:v>Complete the matching Career Guide skill-learning checklist; individual requirements mostly unarchived.</x:v>
      </x:c>
      <x:c r="G56" s="24" t="str"/>
      <x:c r="H56" s="24"/>
      <x:c r="I56" s="24"/>
      <x:c r="J56" s="24" t="str">
        <x:v>Unlock title 'Forest Ecology'; Plant Gathering Ability +4</x:v>
      </x:c>
      <x:c r="K56" s="24" t="str">
        <x:v>One-time</x:v>
      </x:c>
      <x:c r="L56" s="24" t="str">
        <x:v>Named &amp; sourced; checklist missing</x:v>
      </x:c>
      <x:c r="M56" s="24" t="str">
        <x:v>Yes</x:v>
      </x:c>
      <x:c r="N56" s="24" t="str">
        <x:v>Title stat bonus: 30 PER. These numbers are title ATTRIBUTES, not skill-point costs. Career-guide progression is based on learned skills.</x:v>
      </x:c>
      <x:c r="O56" s="24" t="str">
        <x:v>https://www.scribd.com/document/501357601/Durango-Wildlands-Mastersheet</x:v>
      </x:c>
    </x:row>
    <x:row r="57" ht="30" customHeight="1">
      <x:c r="A57" s="24" t="str">
        <x:v>DW-T0095</x:v>
      </x:c>
      <x:c r="B57" s="24" t="str">
        <x:v>Career guides</x:v>
      </x:c>
      <x:c r="C57" s="24" t="str">
        <x:v>Mineralogy and Geochemistry</x:v>
      </x:c>
      <x:c r="D57" s="24" t="str">
        <x:v>Gathering / Minerals</x:v>
      </x:c>
      <x:c r="E57" s="24" t="str">
        <x:v>Career Guide UI</x:v>
      </x:c>
      <x:c r="F57" s="24" t="str">
        <x:v>Complete the matching Career Guide skill-learning checklist; individual requirements mostly unarchived.</x:v>
      </x:c>
      <x:c r="G57" s="24" t="str"/>
      <x:c r="H57" s="24"/>
      <x:c r="I57" s="24"/>
      <x:c r="J57" s="24" t="str">
        <x:v>Unlock title 'Mineralogy and Geochemistry'; Mining Ability +3</x:v>
      </x:c>
      <x:c r="K57" s="24" t="str">
        <x:v>One-time</x:v>
      </x:c>
      <x:c r="L57" s="24" t="str">
        <x:v>Named &amp; sourced; checklist missing</x:v>
      </x:c>
      <x:c r="M57" s="24" t="str">
        <x:v>Yes</x:v>
      </x:c>
      <x:c r="N57" s="24" t="str">
        <x:v>Title stat bonus: 8 DEX; 15 PER. These numbers are title ATTRIBUTES, not skill-point costs. Career-guide progression is based on learned skills.</x:v>
      </x:c>
      <x:c r="O57" s="24" t="str">
        <x:v>https://www.scribd.com/document/501357601/Durango-Wildlands-Mastersheet</x:v>
      </x:c>
    </x:row>
    <x:row r="58" ht="30" customHeight="1">
      <x:c r="A58" s="24" t="str">
        <x:v>DW-T0096</x:v>
      </x:c>
      <x:c r="B58" s="24" t="str">
        <x:v>Career guides</x:v>
      </x:c>
      <x:c r="C58" s="24" t="str">
        <x:v>Foreign Mineralogy</x:v>
      </x:c>
      <x:c r="D58" s="24" t="str">
        <x:v>Gathering / Minerals</x:v>
      </x:c>
      <x:c r="E58" s="24" t="str">
        <x:v>Career Guide UI</x:v>
      </x:c>
      <x:c r="F58" s="24" t="str">
        <x:v>Complete the matching Career Guide skill-learning checklist; individual requirements mostly unarchived.</x:v>
      </x:c>
      <x:c r="G58" s="24" t="str"/>
      <x:c r="H58" s="24"/>
      <x:c r="I58" s="24"/>
      <x:c r="J58" s="24" t="str">
        <x:v>Unlock title 'Foreign Mineralogy'; Mining Ability +4</x:v>
      </x:c>
      <x:c r="K58" s="24" t="str">
        <x:v>One-time</x:v>
      </x:c>
      <x:c r="L58" s="24" t="str">
        <x:v>Named &amp; sourced; checklist missing</x:v>
      </x:c>
      <x:c r="M58" s="24" t="str">
        <x:v>Yes</x:v>
      </x:c>
      <x:c r="N58" s="24" t="str">
        <x:v>Title stat bonus: 10 DEX; 20 PER. These numbers are title ATTRIBUTES, not skill-point costs. Career-guide progression is based on learned skills.</x:v>
      </x:c>
      <x:c r="O58" s="24" t="str">
        <x:v>https://www.scribd.com/document/501357601/Durango-Wildlands-Mastersheet</x:v>
      </x:c>
    </x:row>
    <x:row r="59" ht="30" customHeight="1">
      <x:c r="A59" s="24" t="str">
        <x:v>DW-T0097</x:v>
      </x:c>
      <x:c r="B59" s="24" t="str">
        <x:v>Career guides</x:v>
      </x:c>
      <x:c r="C59" s="24" t="str">
        <x:v>Farming Fundamentals</x:v>
      </x:c>
      <x:c r="D59" s="24" t="str">
        <x:v>Farming / Farming</x:v>
      </x:c>
      <x:c r="E59" s="24" t="str">
        <x:v>Career Guide UI</x:v>
      </x:c>
      <x:c r="F59" s="24" t="str">
        <x:v>Complete the matching Career Guide skill-learning checklist; individual requirements mostly unarchived.</x:v>
      </x:c>
      <x:c r="G59" s="24" t="str"/>
      <x:c r="H59" s="24"/>
      <x:c r="I59" s="24"/>
      <x:c r="J59" s="24" t="str">
        <x:v>Unlock title 'Farming Fundamentals'; Farming Ability +1</x:v>
      </x:c>
      <x:c r="K59" s="24" t="str">
        <x:v>One-time</x:v>
      </x:c>
      <x:c r="L59" s="24" t="str">
        <x:v>Named &amp; sourced; checklist missing</x:v>
      </x:c>
      <x:c r="M59" s="24" t="str">
        <x:v>Yes</x:v>
      </x:c>
      <x:c r="N59" s="24" t="str">
        <x:v>Title stat bonus: 10 WIL. These numbers are title ATTRIBUTES, not skill-point costs. Career-guide progression is based on learned skills.</x:v>
      </x:c>
      <x:c r="O59" s="24" t="str">
        <x:v>https://www.scribd.com/document/501357601/Durango-Wildlands-Mastersheet</x:v>
      </x:c>
    </x:row>
    <x:row r="60" ht="30" customHeight="1">
      <x:c r="A60" s="24" t="str">
        <x:v>DW-T0098</x:v>
      </x:c>
      <x:c r="B60" s="24" t="str">
        <x:v>Career guides</x:v>
      </x:c>
      <x:c r="C60" s="24" t="str">
        <x:v>From Seed to Stalk</x:v>
      </x:c>
      <x:c r="D60" s="24" t="str">
        <x:v>Farming / Farming</x:v>
      </x:c>
      <x:c r="E60" s="24" t="str">
        <x:v>Career Guide UI</x:v>
      </x:c>
      <x:c r="F60" s="24" t="str">
        <x:v>Complete the matching Career Guide skill-learning checklist; individual requirements mostly unarchived.</x:v>
      </x:c>
      <x:c r="G60" s="24" t="str"/>
      <x:c r="H60" s="24"/>
      <x:c r="I60" s="24"/>
      <x:c r="J60" s="24" t="str">
        <x:v>Unlock title 'From Seed to Stalk'; Farming Ability +2</x:v>
      </x:c>
      <x:c r="K60" s="24" t="str">
        <x:v>One-time</x:v>
      </x:c>
      <x:c r="L60" s="24" t="str">
        <x:v>Named &amp; sourced; checklist missing</x:v>
      </x:c>
      <x:c r="M60" s="24" t="str">
        <x:v>Yes</x:v>
      </x:c>
      <x:c r="N60" s="24" t="str">
        <x:v>Title stat bonus: 15 WIL. These numbers are title ATTRIBUTES, not skill-point costs. Career-guide progression is based on learned skills.</x:v>
      </x:c>
      <x:c r="O60" s="24" t="str">
        <x:v>https://www.scribd.com/document/501357601/Durango-Wildlands-Mastersheet</x:v>
      </x:c>
    </x:row>
    <x:row r="61" ht="30" customHeight="1">
      <x:c r="A61" s="24" t="str">
        <x:v>DW-T0099</x:v>
      </x:c>
      <x:c r="B61" s="24" t="str">
        <x:v>Career guides</x:v>
      </x:c>
      <x:c r="C61" s="24" t="str">
        <x:v>Agroforestry</x:v>
      </x:c>
      <x:c r="D61" s="24" t="str">
        <x:v>Farming / Farming</x:v>
      </x:c>
      <x:c r="E61" s="24" t="str">
        <x:v>Career Guide UI</x:v>
      </x:c>
      <x:c r="F61" s="24" t="str">
        <x:v>Complete the matching Career Guide skill-learning checklist; individual requirements mostly unarchived.</x:v>
      </x:c>
      <x:c r="G61" s="24" t="str"/>
      <x:c r="H61" s="24"/>
      <x:c r="I61" s="24"/>
      <x:c r="J61" s="24" t="str">
        <x:v>Unlock title 'Agroforestry'; Farming Ability +3</x:v>
      </x:c>
      <x:c r="K61" s="24" t="str">
        <x:v>One-time</x:v>
      </x:c>
      <x:c r="L61" s="24" t="str">
        <x:v>Named &amp; sourced; checklist missing</x:v>
      </x:c>
      <x:c r="M61" s="24" t="str">
        <x:v>Yes</x:v>
      </x:c>
      <x:c r="N61" s="24" t="str">
        <x:v>Title stat bonus: 23 WIL. These numbers are title ATTRIBUTES, not skill-point costs. Career-guide progression is based on learned skills.</x:v>
      </x:c>
      <x:c r="O61" s="24" t="str">
        <x:v>https://www.scribd.com/document/501357601/Durango-Wildlands-Mastersheet</x:v>
      </x:c>
    </x:row>
    <x:row r="62" ht="30" customHeight="1">
      <x:c r="A62" s="24" t="str">
        <x:v>DW-T0100</x:v>
      </x:c>
      <x:c r="B62" s="24" t="str">
        <x:v>Career guides</x:v>
      </x:c>
      <x:c r="C62" s="24" t="str">
        <x:v>Harvesting the Helix</x:v>
      </x:c>
      <x:c r="D62" s="24" t="str">
        <x:v>Farming / Farming</x:v>
      </x:c>
      <x:c r="E62" s="24" t="str">
        <x:v>Career Guide UI</x:v>
      </x:c>
      <x:c r="F62" s="24" t="str">
        <x:v>Complete the matching Career Guide skill-learning checklist; individual requirements mostly unarchived.</x:v>
      </x:c>
      <x:c r="G62" s="24" t="str"/>
      <x:c r="H62" s="24"/>
      <x:c r="I62" s="24"/>
      <x:c r="J62" s="24" t="str">
        <x:v>Unlock title 'Harvesting the Helix'; Farming Ability +4</x:v>
      </x:c>
      <x:c r="K62" s="24" t="str">
        <x:v>One-time</x:v>
      </x:c>
      <x:c r="L62" s="24" t="str">
        <x:v>Named &amp; sourced; checklist missing</x:v>
      </x:c>
      <x:c r="M62" s="24" t="str">
        <x:v>Yes</x:v>
      </x:c>
      <x:c r="N62" s="24" t="str">
        <x:v>Title stat bonus: 30 WIL. These numbers are title ATTRIBUTES, not skill-point costs. Career-guide progression is based on learned skills.</x:v>
      </x:c>
      <x:c r="O62" s="24" t="str">
        <x:v>https://www.scribd.com/document/501357601/Durango-Wildlands-Mastersheet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aff817bbc6a404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2" hidden="0" customWidth="1"/>
    <x:col min="4" max="4" width="29" hidden="0" customWidth="1"/>
    <x:col min="5" max="5" width="25" hidden="0" customWidth="1"/>
    <x:col min="6" max="6" width="52" hidden="0" customWidth="1"/>
    <x:col min="7" max="7" width="36" hidden="0" customWidth="1"/>
    <x:col min="8" max="8" width="9" hidden="0" customWidth="1"/>
    <x:col min="9" max="9" width="15" hidden="0" customWidth="1"/>
    <x:col min="10" max="10" width="54" hidden="0" customWidth="1"/>
    <x:col min="11" max="11" width="22" hidden="0" customWidth="1"/>
    <x:col min="12" max="12" width="40" hidden="0" customWidth="1"/>
    <x:col min="13" max="13" width="22" hidden="0" customWidth="1"/>
    <x:col min="14" max="14" width="60" hidden="0" customWidth="1"/>
    <x:col min="15" max="15" width="50" hidden="0" customWidth="1"/>
  </x:cols>
  <x:sheetData>
    <x:row r="1" ht="38" customHeight="1">
      <x:c r="A1" s="4" t="str">
        <x:v>GOOGLE ACHIEVEMENTS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10" t="str">
        <x:v>16 entries | distinct from the other task systems | sourced attributes are not SP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28" customHeight="1">
      <x:c r="A4" s="17" t="str">
        <x:v>ID</x:v>
      </x:c>
      <x:c r="B4" s="17" t="str">
        <x:v>System</x:v>
      </x:c>
      <x:c r="C4" s="17" t="str">
        <x:v>Task / title</x:v>
      </x:c>
      <x:c r="D4" s="17" t="str">
        <x:v>Faction / path</x:v>
      </x:c>
      <x:c r="E4" s="17" t="str">
        <x:v>Island / context</x:v>
      </x:c>
      <x:c r="F4" s="17" t="str">
        <x:v>Objective / requirement</x:v>
      </x:c>
      <x:c r="G4" s="17" t="str">
        <x:v>Target item / enemy</x:v>
      </x:c>
      <x:c r="H4" s="17" t="str">
        <x:v>Qty</x:v>
      </x:c>
      <x:c r="I4" s="17" t="str">
        <x:v>Min item Lv.</x:v>
      </x:c>
      <x:c r="J4" s="17" t="str">
        <x:v>Rewards / effects</x:v>
      </x:c>
      <x:c r="K4" s="17" t="str">
        <x:v>Recurrence</x:v>
      </x:c>
      <x:c r="L4" s="17" t="str">
        <x:v>Evidence</x:v>
      </x:c>
      <x:c r="M4" s="17" t="str">
        <x:v>Official task name?</x:v>
      </x:c>
      <x:c r="N4" s="17" t="str">
        <x:v>Research notes</x:v>
      </x:c>
      <x:c r="O4" s="17" t="str">
        <x:v>Source URL</x:v>
      </x:c>
    </x:row>
    <x:row r="5" ht="30" customHeight="1">
      <x:c r="A5" s="24" t="str">
        <x:v>DW-T0101</x:v>
      </x:c>
      <x:c r="B5" s="24" t="str">
        <x:v>Google Play achievements</x:v>
      </x:c>
      <x:c r="C5" s="24" t="str">
        <x:v>오비</x:v>
      </x:c>
      <x:c r="D5" s="24" t="str">
        <x:v>Google Play Games</x:v>
      </x:c>
      <x:c r="E5" s="24" t="str">
        <x:v>Android achievement</x:v>
      </x:c>
      <x:c r="F5" s="24" t="str">
        <x:v>Oviraptor achievement (exact conditions not recovered)</x:v>
      </x:c>
      <x:c r="G5" s="24" t="str"/>
      <x:c r="H5" s="24"/>
      <x:c r="I5" s="24"/>
      <x:c r="J5" s="24" t="str">
        <x:v>500 Google Play achievement XP (not in-game SP or currency)</x:v>
      </x:c>
      <x:c r="K5" s="24" t="str">
        <x:v>One-time</x:v>
      </x:c>
      <x:c r="L5" s="24" t="str">
        <x:v>Title sourced; objective missing</x:v>
      </x:c>
      <x:c r="M5" s="24" t="str">
        <x:v>Yes</x:v>
      </x:c>
      <x:c r="N5" s="24" t="str">
        <x:v>External Google Play achievements, not the full in-game Tasks achievement list.</x:v>
      </x:c>
      <x:c r="O5" s="24" t="str">
        <x:v>https://www.exophase.com/game/durango-wild-lands-android/achievements/</x:v>
      </x:c>
    </x:row>
    <x:row r="6" ht="30" customHeight="1">
      <x:c r="A6" s="24" t="str">
        <x:v>DW-T0102</x:v>
      </x:c>
      <x:c r="B6" s="24" t="str">
        <x:v>Google Play achievements</x:v>
      </x:c>
      <x:c r="C6" s="24" t="str">
        <x:v>콤피</x:v>
      </x:c>
      <x:c r="D6" s="24" t="str">
        <x:v>Google Play Games</x:v>
      </x:c>
      <x:c r="E6" s="24" t="str">
        <x:v>Android achievement</x:v>
      </x:c>
      <x:c r="F6" s="24" t="str">
        <x:v>Compsognathus achievement (exact conditions not recovered)</x:v>
      </x:c>
      <x:c r="G6" s="24" t="str"/>
      <x:c r="H6" s="24"/>
      <x:c r="I6" s="24"/>
      <x:c r="J6" s="24" t="str">
        <x:v>500 Google Play achievement XP (not in-game SP or currency)</x:v>
      </x:c>
      <x:c r="K6" s="24" t="str">
        <x:v>One-time</x:v>
      </x:c>
      <x:c r="L6" s="24" t="str">
        <x:v>Title sourced; objective missing</x:v>
      </x:c>
      <x:c r="M6" s="24" t="str">
        <x:v>Yes</x:v>
      </x:c>
      <x:c r="N6" s="24" t="str">
        <x:v>External Google Play achievements, not the full in-game Tasks achievement list.</x:v>
      </x:c>
      <x:c r="O6" s="24" t="str">
        <x:v>https://www.exophase.com/game/durango-wild-lands-android/achievements/</x:v>
      </x:c>
    </x:row>
    <x:row r="7" ht="30" customHeight="1">
      <x:c r="A7" s="24" t="str">
        <x:v>DW-T0103</x:v>
      </x:c>
      <x:c r="B7" s="24" t="str">
        <x:v>Google Play achievements</x:v>
      </x:c>
      <x:c r="C7" s="24" t="str">
        <x:v>랩터</x:v>
      </x:c>
      <x:c r="D7" s="24" t="str">
        <x:v>Google Play Games</x:v>
      </x:c>
      <x:c r="E7" s="24" t="str">
        <x:v>Android achievement</x:v>
      </x:c>
      <x:c r="F7" s="24" t="str">
        <x:v>Raptor achievement (exact conditions not recovered)</x:v>
      </x:c>
      <x:c r="G7" s="24" t="str"/>
      <x:c r="H7" s="24"/>
      <x:c r="I7" s="24"/>
      <x:c r="J7" s="24" t="str">
        <x:v>500 Google Play achievement XP (not in-game SP or currency)</x:v>
      </x:c>
      <x:c r="K7" s="24" t="str">
        <x:v>One-time</x:v>
      </x:c>
      <x:c r="L7" s="24" t="str">
        <x:v>Title sourced; objective missing</x:v>
      </x:c>
      <x:c r="M7" s="24" t="str">
        <x:v>Yes</x:v>
      </x:c>
      <x:c r="N7" s="24" t="str">
        <x:v>External Google Play achievements, not the full in-game Tasks achievement list.</x:v>
      </x:c>
      <x:c r="O7" s="24" t="str">
        <x:v>https://www.exophase.com/game/durango-wild-lands-android/achievements/</x:v>
      </x:c>
    </x:row>
    <x:row r="8" ht="30" customHeight="1">
      <x:c r="A8" s="24" t="str">
        <x:v>DW-T0104</x:v>
      </x:c>
      <x:c r="B8" s="24" t="str">
        <x:v>Google Play achievements</x:v>
      </x:c>
      <x:c r="C8" s="24" t="str">
        <x:v>스밀로돈</x:v>
      </x:c>
      <x:c r="D8" s="24" t="str">
        <x:v>Google Play Games</x:v>
      </x:c>
      <x:c r="E8" s="24" t="str">
        <x:v>Android achievement</x:v>
      </x:c>
      <x:c r="F8" s="24" t="str">
        <x:v>Smilodon achievement (exact conditions not recovered)</x:v>
      </x:c>
      <x:c r="G8" s="24" t="str"/>
      <x:c r="H8" s="24"/>
      <x:c r="I8" s="24"/>
      <x:c r="J8" s="24" t="str">
        <x:v>500 Google Play achievement XP (not in-game SP or currency)</x:v>
      </x:c>
      <x:c r="K8" s="24" t="str">
        <x:v>One-time</x:v>
      </x:c>
      <x:c r="L8" s="24" t="str">
        <x:v>Title sourced; objective missing</x:v>
      </x:c>
      <x:c r="M8" s="24" t="str">
        <x:v>Yes</x:v>
      </x:c>
      <x:c r="N8" s="24" t="str">
        <x:v>External Google Play achievements, not the full in-game Tasks achievement list.</x:v>
      </x:c>
      <x:c r="O8" s="24" t="str">
        <x:v>https://www.exophase.com/game/durango-wild-lands-android/achievements/</x:v>
      </x:c>
    </x:row>
    <x:row r="9" ht="30" customHeight="1">
      <x:c r="A9" s="24" t="str">
        <x:v>DW-T0105</x:v>
      </x:c>
      <x:c r="B9" s="24" t="str">
        <x:v>Google Play achievements</x:v>
      </x:c>
      <x:c r="C9" s="24" t="str">
        <x:v>티라노</x:v>
      </x:c>
      <x:c r="D9" s="24" t="str">
        <x:v>Google Play Games</x:v>
      </x:c>
      <x:c r="E9" s="24" t="str">
        <x:v>Android achievement</x:v>
      </x:c>
      <x:c r="F9" s="24" t="str">
        <x:v>Tyrannosaurus achievement (exact conditions not recovered)</x:v>
      </x:c>
      <x:c r="G9" s="24" t="str"/>
      <x:c r="H9" s="24"/>
      <x:c r="I9" s="24"/>
      <x:c r="J9" s="24" t="str">
        <x:v>500 Google Play achievement XP (not in-game SP or currency)</x:v>
      </x:c>
      <x:c r="K9" s="24" t="str">
        <x:v>One-time</x:v>
      </x:c>
      <x:c r="L9" s="24" t="str">
        <x:v>Title sourced; objective missing</x:v>
      </x:c>
      <x:c r="M9" s="24" t="str">
        <x:v>Yes</x:v>
      </x:c>
      <x:c r="N9" s="24" t="str">
        <x:v>External Google Play achievements, not the full in-game Tasks achievement list.</x:v>
      </x:c>
      <x:c r="O9" s="24" t="str">
        <x:v>https://www.exophase.com/game/durango-wild-lands-android/achievements/</x:v>
      </x:c>
    </x:row>
    <x:row r="10" ht="30" customHeight="1">
      <x:c r="A10" s="24" t="str">
        <x:v>DW-T0106</x:v>
      </x:c>
      <x:c r="B10" s="24" t="str">
        <x:v>Google Play achievements</x:v>
      </x:c>
      <x:c r="C10" s="24" t="str">
        <x:v>Callused Fingers</x:v>
      </x:c>
      <x:c r="D10" s="24" t="str">
        <x:v>Google Play Games</x:v>
      </x:c>
      <x:c r="E10" s="24" t="str">
        <x:v>Android achievement</x:v>
      </x:c>
      <x:c r="F10" s="24" t="str">
        <x:v>Craft your first makeshift axe</x:v>
      </x:c>
      <x:c r="G10" s="24" t="str"/>
      <x:c r="H10" s="24"/>
      <x:c r="I10" s="24"/>
      <x:c r="J10" s="24" t="str">
        <x:v>1000 Google Play achievement XP (not in-game SP or currency)</x:v>
      </x:c>
      <x:c r="K10" s="24" t="str">
        <x:v>One-time</x:v>
      </x:c>
      <x:c r="L10" s="24" t="str">
        <x:v>Title &amp; description sourced</x:v>
      </x:c>
      <x:c r="M10" s="24" t="str">
        <x:v>Yes</x:v>
      </x:c>
      <x:c r="N10" s="24" t="str">
        <x:v>External Google Play achievements, not the full in-game Tasks achievement list.</x:v>
      </x:c>
      <x:c r="O10" s="24" t="str">
        <x:v>https://www.exophase.com/game/durango-wild-lands-android/achievements/</x:v>
      </x:c>
    </x:row>
    <x:row r="11" ht="30" customHeight="1">
      <x:c r="A11" s="24" t="str">
        <x:v>DW-T0107</x:v>
      </x:c>
      <x:c r="B11" s="24" t="str">
        <x:v>Google Play achievements</x:v>
      </x:c>
      <x:c r="C11" s="24" t="str">
        <x:v>The New World Awaits</x:v>
      </x:c>
      <x:c r="D11" s="24" t="str">
        <x:v>Google Play Games</x:v>
      </x:c>
      <x:c r="E11" s="24" t="str">
        <x:v>Android achievement</x:v>
      </x:c>
      <x:c r="F11" s="24" t="str">
        <x:v>Escape Ancora</x:v>
      </x:c>
      <x:c r="G11" s="24" t="str"/>
      <x:c r="H11" s="24"/>
      <x:c r="I11" s="24"/>
      <x:c r="J11" s="24" t="str">
        <x:v>1000 Google Play achievement XP (not in-game SP or currency)</x:v>
      </x:c>
      <x:c r="K11" s="24" t="str">
        <x:v>One-time</x:v>
      </x:c>
      <x:c r="L11" s="24" t="str">
        <x:v>Title &amp; description sourced</x:v>
      </x:c>
      <x:c r="M11" s="24" t="str">
        <x:v>Yes</x:v>
      </x:c>
      <x:c r="N11" s="24" t="str">
        <x:v>External Google Play achievements, not the full in-game Tasks achievement list.</x:v>
      </x:c>
      <x:c r="O11" s="24" t="str">
        <x:v>https://www.exophase.com/game/durango-wild-lands-android/achievements/</x:v>
      </x:c>
    </x:row>
    <x:row r="12" ht="30" customHeight="1">
      <x:c r="A12" s="24" t="str">
        <x:v>DW-T0108</x:v>
      </x:c>
      <x:c r="B12" s="24" t="str">
        <x:v>Google Play achievements</x:v>
      </x:c>
      <x:c r="C12" s="24" t="str">
        <x:v>Home Sweet Home</x:v>
      </x:c>
      <x:c r="D12" s="24" t="str">
        <x:v>Google Play Games</x:v>
      </x:c>
      <x:c r="E12" s="24" t="str">
        <x:v>Android achievement</x:v>
      </x:c>
      <x:c r="F12" s="24" t="str">
        <x:v>Claim your first piece of land</x:v>
      </x:c>
      <x:c r="G12" s="24" t="str"/>
      <x:c r="H12" s="24"/>
      <x:c r="I12" s="24"/>
      <x:c r="J12" s="24" t="str">
        <x:v>1000 Google Play achievement XP (not in-game SP or currency)</x:v>
      </x:c>
      <x:c r="K12" s="24" t="str">
        <x:v>One-time</x:v>
      </x:c>
      <x:c r="L12" s="24" t="str">
        <x:v>Title &amp; description sourced</x:v>
      </x:c>
      <x:c r="M12" s="24" t="str">
        <x:v>Yes</x:v>
      </x:c>
      <x:c r="N12" s="24" t="str">
        <x:v>External Google Play achievements, not the full in-game Tasks achievement list.</x:v>
      </x:c>
      <x:c r="O12" s="24" t="str">
        <x:v>https://www.exophase.com/game/durango-wild-lands-android/achievements/</x:v>
      </x:c>
    </x:row>
    <x:row r="13" ht="30" customHeight="1">
      <x:c r="A13" s="24" t="str">
        <x:v>DW-T0109</x:v>
      </x:c>
      <x:c r="B13" s="24" t="str">
        <x:v>Google Play achievements</x:v>
      </x:c>
      <x:c r="C13" s="24" t="str">
        <x:v>Only the Strong</x:v>
      </x:c>
      <x:c r="D13" s="24" t="str">
        <x:v>Google Play Games</x:v>
      </x:c>
      <x:c r="E13" s="24" t="str">
        <x:v>Android achievement</x:v>
      </x:c>
      <x:c r="F13" s="24" t="str">
        <x:v>Win your first battle</x:v>
      </x:c>
      <x:c r="G13" s="24" t="str"/>
      <x:c r="H13" s="24"/>
      <x:c r="I13" s="24"/>
      <x:c r="J13" s="24" t="str">
        <x:v>1000 Google Play achievement XP (not in-game SP or currency)</x:v>
      </x:c>
      <x:c r="K13" s="24" t="str">
        <x:v>One-time</x:v>
      </x:c>
      <x:c r="L13" s="24" t="str">
        <x:v>Title &amp; description sourced</x:v>
      </x:c>
      <x:c r="M13" s="24" t="str">
        <x:v>Yes</x:v>
      </x:c>
      <x:c r="N13" s="24" t="str">
        <x:v>External Google Play achievements, not the full in-game Tasks achievement list.</x:v>
      </x:c>
      <x:c r="O13" s="24" t="str">
        <x:v>https://www.exophase.com/game/durango-wild-lands-android/achievements/</x:v>
      </x:c>
    </x:row>
    <x:row r="14" ht="30" customHeight="1">
      <x:c r="A14" s="24" t="str">
        <x:v>DW-T0110</x:v>
      </x:c>
      <x:c r="B14" s="24" t="str">
        <x:v>Google Play achievements</x:v>
      </x:c>
      <x:c r="C14" s="24" t="str">
        <x:v>Self-Starter</x:v>
      </x:c>
      <x:c r="D14" s="24" t="str">
        <x:v>Google Play Games</x:v>
      </x:c>
      <x:c r="E14" s="24" t="str">
        <x:v>Android achievement</x:v>
      </x:c>
      <x:c r="F14" s="24" t="str">
        <x:v>Complete your first mission</x:v>
      </x:c>
      <x:c r="G14" s="24" t="str"/>
      <x:c r="H14" s="24"/>
      <x:c r="I14" s="24"/>
      <x:c r="J14" s="24" t="str">
        <x:v>1000 Google Play achievement XP (not in-game SP or currency)</x:v>
      </x:c>
      <x:c r="K14" s="24" t="str">
        <x:v>One-time</x:v>
      </x:c>
      <x:c r="L14" s="24" t="str">
        <x:v>Title &amp; description sourced</x:v>
      </x:c>
      <x:c r="M14" s="24" t="str">
        <x:v>Yes</x:v>
      </x:c>
      <x:c r="N14" s="24" t="str">
        <x:v>External Google Play achievements, not the full in-game Tasks achievement list.</x:v>
      </x:c>
      <x:c r="O14" s="24" t="str">
        <x:v>https://www.exophase.com/game/durango-wild-lands-android/achievements/</x:v>
      </x:c>
    </x:row>
    <x:row r="15" ht="30" customHeight="1">
      <x:c r="A15" s="24" t="str">
        <x:v>DW-T0111</x:v>
      </x:c>
      <x:c r="B15" s="24" t="str">
        <x:v>Google Play achievements</x:v>
      </x:c>
      <x:c r="C15" s="24" t="str">
        <x:v>Surviving</x:v>
      </x:c>
      <x:c r="D15" s="24" t="str">
        <x:v>Google Play Games</x:v>
      </x:c>
      <x:c r="E15" s="24" t="str">
        <x:v>Android achievement</x:v>
      </x:c>
      <x:c r="F15" s="24" t="str">
        <x:v>Reach player Lv. 10</x:v>
      </x:c>
      <x:c r="G15" s="24" t="str"/>
      <x:c r="H15" s="24"/>
      <x:c r="I15" s="24"/>
      <x:c r="J15" s="24" t="str">
        <x:v>1000 Google Play achievement XP (not in-game SP or currency)</x:v>
      </x:c>
      <x:c r="K15" s="24" t="str">
        <x:v>One-time</x:v>
      </x:c>
      <x:c r="L15" s="24" t="str">
        <x:v>Title &amp; description sourced</x:v>
      </x:c>
      <x:c r="M15" s="24" t="str">
        <x:v>Yes</x:v>
      </x:c>
      <x:c r="N15" s="24" t="str">
        <x:v>External Google Play achievements, not the full in-game Tasks achievement list.</x:v>
      </x:c>
      <x:c r="O15" s="24" t="str">
        <x:v>https://www.exophase.com/game/durango-wild-lands-android/achievements/</x:v>
      </x:c>
    </x:row>
    <x:row r="16" ht="30" customHeight="1">
      <x:c r="A16" s="24" t="str">
        <x:v>DW-T0112</x:v>
      </x:c>
      <x:c r="B16" s="24" t="str">
        <x:v>Google Play achievements</x:v>
      </x:c>
      <x:c r="C16" s="24" t="str">
        <x:v>Learning</x:v>
      </x:c>
      <x:c r="D16" s="24" t="str">
        <x:v>Google Play Games</x:v>
      </x:c>
      <x:c r="E16" s="24" t="str">
        <x:v>Android achievement</x:v>
      </x:c>
      <x:c r="F16" s="24" t="str">
        <x:v>Reach player Lv. 20</x:v>
      </x:c>
      <x:c r="G16" s="24" t="str"/>
      <x:c r="H16" s="24"/>
      <x:c r="I16" s="24"/>
      <x:c r="J16" s="24" t="str">
        <x:v>1000 Google Play achievement XP (not in-game SP or currency)</x:v>
      </x:c>
      <x:c r="K16" s="24" t="str">
        <x:v>One-time</x:v>
      </x:c>
      <x:c r="L16" s="24" t="str">
        <x:v>Title &amp; description sourced</x:v>
      </x:c>
      <x:c r="M16" s="24" t="str">
        <x:v>Yes</x:v>
      </x:c>
      <x:c r="N16" s="24" t="str">
        <x:v>External Google Play achievements, not the full in-game Tasks achievement list.</x:v>
      </x:c>
      <x:c r="O16" s="24" t="str">
        <x:v>https://www.exophase.com/game/durango-wild-lands-android/achievements/</x:v>
      </x:c>
    </x:row>
    <x:row r="17" ht="30" customHeight="1">
      <x:c r="A17" s="24" t="str">
        <x:v>DW-T0113</x:v>
      </x:c>
      <x:c r="B17" s="24" t="str">
        <x:v>Google Play achievements</x:v>
      </x:c>
      <x:c r="C17" s="24" t="str">
        <x:v>Adjusting</x:v>
      </x:c>
      <x:c r="D17" s="24" t="str">
        <x:v>Google Play Games</x:v>
      </x:c>
      <x:c r="E17" s="24" t="str">
        <x:v>Android achievement</x:v>
      </x:c>
      <x:c r="F17" s="24" t="str">
        <x:v>Reach player Lv. 30</x:v>
      </x:c>
      <x:c r="G17" s="24" t="str"/>
      <x:c r="H17" s="24"/>
      <x:c r="I17" s="24"/>
      <x:c r="J17" s="24" t="str">
        <x:v>1000 Google Play achievement XP (not in-game SP or currency)</x:v>
      </x:c>
      <x:c r="K17" s="24" t="str">
        <x:v>One-time</x:v>
      </x:c>
      <x:c r="L17" s="24" t="str">
        <x:v>Title &amp; description sourced</x:v>
      </x:c>
      <x:c r="M17" s="24" t="str">
        <x:v>Yes</x:v>
      </x:c>
      <x:c r="N17" s="24" t="str">
        <x:v>External Google Play achievements, not the full in-game Tasks achievement list.</x:v>
      </x:c>
      <x:c r="O17" s="24" t="str">
        <x:v>https://www.exophase.com/game/durango-wild-lands-android/achievements/</x:v>
      </x:c>
    </x:row>
    <x:row r="18" ht="30" customHeight="1">
      <x:c r="A18" s="24" t="str">
        <x:v>DW-T0114</x:v>
      </x:c>
      <x:c r="B18" s="24" t="str">
        <x:v>Google Play achievements</x:v>
      </x:c>
      <x:c r="C18" s="24" t="str">
        <x:v>Settling</x:v>
      </x:c>
      <x:c r="D18" s="24" t="str">
        <x:v>Google Play Games</x:v>
      </x:c>
      <x:c r="E18" s="24" t="str">
        <x:v>Android achievement</x:v>
      </x:c>
      <x:c r="F18" s="24" t="str">
        <x:v>Reach player Lv. 40</x:v>
      </x:c>
      <x:c r="G18" s="24" t="str"/>
      <x:c r="H18" s="24"/>
      <x:c r="I18" s="24"/>
      <x:c r="J18" s="24" t="str">
        <x:v>1000 Google Play achievement XP (not in-game SP or currency)</x:v>
      </x:c>
      <x:c r="K18" s="24" t="str">
        <x:v>One-time</x:v>
      </x:c>
      <x:c r="L18" s="24" t="str">
        <x:v>Title &amp; description sourced</x:v>
      </x:c>
      <x:c r="M18" s="24" t="str">
        <x:v>Yes</x:v>
      </x:c>
      <x:c r="N18" s="24" t="str">
        <x:v>External Google Play achievements, not the full in-game Tasks achievement list.</x:v>
      </x:c>
      <x:c r="O18" s="24" t="str">
        <x:v>https://www.exophase.com/game/durango-wild-lands-android/achievements/</x:v>
      </x:c>
    </x:row>
    <x:row r="19" ht="30" customHeight="1">
      <x:c r="A19" s="24" t="str">
        <x:v>DW-T0115</x:v>
      </x:c>
      <x:c r="B19" s="24" t="str">
        <x:v>Google Play achievements</x:v>
      </x:c>
      <x:c r="C19" s="24" t="str">
        <x:v>Adventuring</x:v>
      </x:c>
      <x:c r="D19" s="24" t="str">
        <x:v>Google Play Games</x:v>
      </x:c>
      <x:c r="E19" s="24" t="str">
        <x:v>Android achievement</x:v>
      </x:c>
      <x:c r="F19" s="24" t="str">
        <x:v>Reach player Lv. 50</x:v>
      </x:c>
      <x:c r="G19" s="24" t="str"/>
      <x:c r="H19" s="24"/>
      <x:c r="I19" s="24"/>
      <x:c r="J19" s="24" t="str">
        <x:v>1000 Google Play achievement XP (not in-game SP or currency)</x:v>
      </x:c>
      <x:c r="K19" s="24" t="str">
        <x:v>One-time</x:v>
      </x:c>
      <x:c r="L19" s="24" t="str">
        <x:v>Title &amp; description sourced</x:v>
      </x:c>
      <x:c r="M19" s="24" t="str">
        <x:v>Yes</x:v>
      </x:c>
      <x:c r="N19" s="24" t="str">
        <x:v>External Google Play achievements, not the full in-game Tasks achievement list.</x:v>
      </x:c>
      <x:c r="O19" s="24" t="str">
        <x:v>https://www.exophase.com/game/durango-wild-lands-android/achievements/</x:v>
      </x:c>
    </x:row>
    <x:row r="20" ht="30" customHeight="1">
      <x:c r="A20" s="24" t="str">
        <x:v>DW-T0116</x:v>
      </x:c>
      <x:c r="B20" s="24" t="str">
        <x:v>Google Play achievements</x:v>
      </x:c>
      <x:c r="C20" s="24" t="str">
        <x:v>Conquering</x:v>
      </x:c>
      <x:c r="D20" s="24" t="str">
        <x:v>Google Play Games</x:v>
      </x:c>
      <x:c r="E20" s="24" t="str">
        <x:v>Android achievement</x:v>
      </x:c>
      <x:c r="F20" s="24" t="str">
        <x:v>Reach player Lv. 60</x:v>
      </x:c>
      <x:c r="G20" s="24" t="str"/>
      <x:c r="H20" s="24"/>
      <x:c r="I20" s="24"/>
      <x:c r="J20" s="24" t="str">
        <x:v>1000 Google Play achievement XP (not in-game SP or currency)</x:v>
      </x:c>
      <x:c r="K20" s="24" t="str">
        <x:v>One-time</x:v>
      </x:c>
      <x:c r="L20" s="24" t="str">
        <x:v>Title &amp; description sourced</x:v>
      </x:c>
      <x:c r="M20" s="24" t="str">
        <x:v>Yes</x:v>
      </x:c>
      <x:c r="N20" s="24" t="str">
        <x:v>External Google Play achievements, not the full in-game Tasks achievement list.</x:v>
      </x:c>
      <x:c r="O20" s="24" t="str">
        <x:v>https://www.exophase.com/game/durango-wild-lands-android/achievements/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700c69413e6a42c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5" hidden="0" customWidth="1"/>
    <x:col min="4" max="4" width="29" hidden="0" customWidth="1"/>
    <x:col min="5" max="5" width="26" hidden="0" customWidth="1"/>
    <x:col min="6" max="6" width="55" hidden="0" customWidth="1"/>
    <x:col min="7" max="7" width="30" hidden="0" customWidth="1"/>
    <x:col min="8" max="8" width="9" hidden="0" customWidth="1"/>
    <x:col min="9" max="9" width="16" hidden="0" customWidth="1"/>
    <x:col min="10" max="10" width="50" hidden="0" customWidth="1"/>
    <x:col min="11" max="11" width="20" hidden="0" customWidth="1"/>
    <x:col min="12" max="12" width="42" hidden="0" customWidth="1"/>
    <x:col min="13" max="13" width="22" hidden="0" customWidth="1"/>
    <x:col min="14" max="14" width="60" hidden="0" customWidth="1"/>
    <x:col min="15" max="15" width="52" hidden="0" customWidth="1"/>
  </x:cols>
  <x:sheetData>
    <x:row r="1" ht="38" customHeight="1">
      <x:c r="A1" s="4" t="str">
        <x:v>TASK 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10" t="str">
        <x:v>14 recorded task-board examples | many more daily &amp; weekly tasks existed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28" customHeight="1">
      <x:c r="A4" s="17" t="str">
        <x:v>ID</x:v>
      </x:c>
      <x:c r="B4" s="17" t="str">
        <x:v>System</x:v>
      </x:c>
      <x:c r="C4" s="17" t="str">
        <x:v>Task / title</x:v>
      </x:c>
      <x:c r="D4" s="17" t="str">
        <x:v>Faction / path</x:v>
      </x:c>
      <x:c r="E4" s="17" t="str">
        <x:v>Island / context</x:v>
      </x:c>
      <x:c r="F4" s="17" t="str">
        <x:v>Objective / requirement</x:v>
      </x:c>
      <x:c r="G4" s="17" t="str">
        <x:v>Target item / enemy</x:v>
      </x:c>
      <x:c r="H4" s="17" t="str">
        <x:v>Qty</x:v>
      </x:c>
      <x:c r="I4" s="17" t="str">
        <x:v>Min item Lv.</x:v>
      </x:c>
      <x:c r="J4" s="17" t="str">
        <x:v>Rewards / effects</x:v>
      </x:c>
      <x:c r="K4" s="17" t="str">
        <x:v>Recurrence</x:v>
      </x:c>
      <x:c r="L4" s="17" t="str">
        <x:v>Evidence</x:v>
      </x:c>
      <x:c r="M4" s="17" t="str">
        <x:v>Official task name?</x:v>
      </x:c>
      <x:c r="N4" s="17" t="str">
        <x:v>Research notes</x:v>
      </x:c>
      <x:c r="O4" s="17" t="str">
        <x:v>Source URL</x:v>
      </x:c>
    </x:row>
    <x:row r="5" ht="30" customHeight="1">
      <x:c r="A5" s="24" t="str">
        <x:v>DW-T0117</x:v>
      </x:c>
      <x:c r="B5" s="24" t="str">
        <x:v>Daily tasks</x:v>
      </x:c>
      <x:c r="C5" s="24" t="str">
        <x:v>[Daily] Material Processing</x:v>
      </x:c>
      <x:c r="D5" s="24" t="str">
        <x:v>Processing</x:v>
      </x:c>
      <x:c r="E5" s="24" t="str">
        <x:v>Tasks &gt; Daily</x:v>
      </x:c>
      <x:c r="F5" s="24" t="str">
        <x:v>Trim materials using the Trimmed Material processing skill.</x:v>
      </x:c>
      <x:c r="G5" s="24" t="str">
        <x:v>Trimmed Material</x:v>
      </x:c>
      <x:c r="H5" s="24"/>
      <x:c r="I5" s="24" t="n">
        <x:v>25</x:v>
      </x:c>
      <x:c r="J5" s="24" t="str">
        <x:v>EXP, T-Stones and task points (amount unknown)</x:v>
      </x:c>
      <x:c r="K5" s="24" t="str">
        <x:v>Daily</x:v>
      </x:c>
      <x:c r="L5" s="24" t="str">
        <x:v>Named &amp; sourced</x:v>
      </x:c>
      <x:c r="M5" s="24" t="str">
        <x:v>Yes</x:v>
      </x:c>
      <x:c r="N5" s="24" t="str">
        <x:v>Name from contemporaneous player screenshot description; Lv25 is skill unlock requirement, not necessarily target item level.</x:v>
      </x:c>
      <x:c r="O5" s="24" t="str">
        <x:v>https://www.reddit.com/r/DurangoWildLands/comments/d43xu9</x:v>
      </x:c>
    </x:row>
    <x:row r="6" ht="30" customHeight="1">
      <x:c r="A6" s="24" t="str">
        <x:v>DW-T0118</x:v>
      </x:c>
      <x:c r="B6" s="24" t="str">
        <x:v>Daily tasks</x:v>
      </x:c>
      <x:c r="C6" s="24" t="str">
        <x:v>Trim Materials</x:v>
      </x:c>
      <x:c r="D6" s="24" t="str">
        <x:v>Processing</x:v>
      </x:c>
      <x:c r="E6" s="24" t="str">
        <x:v>Tasks &gt; Daily</x:v>
      </x:c>
      <x:c r="F6" s="24" t="str">
        <x:v>Produce trimmed materials with a Lv. 20+ workbench.</x:v>
      </x:c>
      <x:c r="G6" s="24" t="str">
        <x:v>Trimmed Material</x:v>
      </x:c>
      <x:c r="H6" s="24"/>
      <x:c r="I6" s="24"/>
      <x:c r="J6" s="24" t="str">
        <x:v>EXP, T-Stones, task points</x:v>
      </x:c>
      <x:c r="K6" s="24" t="str">
        <x:v>Daily</x:v>
      </x:c>
      <x:c r="L6" s="24" t="str">
        <x:v>Objective sourced; title may vary</x:v>
      </x:c>
      <x:c r="M6" s="24" t="str">
        <x:v>No (descriptive)</x:v>
      </x:c>
      <x:c r="N6" s="24" t="str">
        <x:v>Same activity as [Daily] Material Processing; retained as corroborating task/objective variant.</x:v>
      </x:c>
      <x:c r="O6" s="24" t="str">
        <x:v>https://www.mrguider.org/cheats/durango-wild-lands-guide-tips-cheats-strategies/</x:v>
      </x:c>
    </x:row>
    <x:row r="7" ht="30" customHeight="1">
      <x:c r="A7" s="24" t="str">
        <x:v>DW-T0119</x:v>
      </x:c>
      <x:c r="B7" s="24" t="str">
        <x:v>Daily tasks</x:v>
      </x:c>
      <x:c r="C7" s="24" t="str">
        <x:v>Butcher 10 times</x:v>
      </x:c>
      <x:c r="D7" s="24" t="str">
        <x:v>Butchering</x:v>
      </x:c>
      <x:c r="E7" s="24" t="str">
        <x:v>Tasks &gt; Daily</x:v>
      </x:c>
      <x:c r="F7" s="24" t="str">
        <x:v>Perform ten butchering interactions</x:v>
      </x:c>
      <x:c r="G7" s="24" t="str">
        <x:v>Any animal carcass</x:v>
      </x:c>
      <x:c r="H7" s="24" t="n">
        <x:v>10</x:v>
      </x:c>
      <x:c r="I7" s="24"/>
      <x:c r="J7" s="24" t="str">
        <x:v>T-Stones, EXP / task points (exact amount unknown)</x:v>
      </x:c>
      <x:c r="K7" s="24" t="str">
        <x:v>Daily</x:v>
      </x:c>
      <x:c r="L7" s="24" t="str">
        <x:v>Objective sourced; official name unknown</x:v>
      </x:c>
      <x:c r="M7" s="24" t="str">
        <x:v>No (descriptive)</x:v>
      </x:c>
      <x:c r="N7" s="24" t="str">
        <x:v>2019 player guide explicitly cites 'Butcher 10 times' as a daily objective.</x:v>
      </x:c>
      <x:c r="O7" s="24" t="str">
        <x:v>https://www.reddit.com/r/DurangoWildLands/comments/bvjgh4</x:v>
      </x:c>
    </x:row>
    <x:row r="8" ht="30" customHeight="1">
      <x:c r="A8" s="24" t="str">
        <x:v>DW-T0120</x:v>
      </x:c>
      <x:c r="B8" s="24" t="str">
        <x:v>Daily tasks</x:v>
      </x:c>
      <x:c r="C8" s="24" t="str">
        <x:v>Craft leaf outfits [label descriptive]</x:v>
      </x:c>
      <x:c r="D8" s="24" t="str">
        <x:v>Tailoring</x:v>
      </x:c>
      <x:c r="E8" s="24" t="str">
        <x:v>Tasks &gt; Daily</x:v>
      </x:c>
      <x:c r="F8" s="24" t="str">
        <x:v>Craft beginner leaf clothing for routine task credit.</x:v>
      </x:c>
      <x:c r="G8" s="24" t="str">
        <x:v>Leaf Outfit</x:v>
      </x:c>
      <x:c r="H8" s="24"/>
      <x:c r="I8" s="24"/>
      <x:c r="J8" s="24" t="str">
        <x:v>Daily rewards (amount unknown)</x:v>
      </x:c>
      <x:c r="K8" s="24" t="str">
        <x:v>Daily</x:v>
      </x:c>
      <x:c r="L8" s="24" t="str">
        <x:v>Activity sourced; daily title and quantity missing</x:v>
      </x:c>
      <x:c r="M8" s="24" t="str">
        <x:v>No (descriptive)</x:v>
      </x:c>
      <x:c r="N8" s="24" t="str">
        <x:v>Player recommends crafting leaf outfits for daily tasks; not a verified exact task label.</x:v>
      </x:c>
      <x:c r="O8" s="24" t="str">
        <x:v>https://www.reddit.com/r/DurangoWildLands/comments/c296hj</x:v>
      </x:c>
    </x:row>
    <x:row r="9" ht="30" customHeight="1">
      <x:c r="A9" s="24" t="str">
        <x:v>DW-T0121</x:v>
      </x:c>
      <x:c r="B9" s="24" t="str">
        <x:v>Daily tasks</x:v>
      </x:c>
      <x:c r="C9" s="24" t="str">
        <x:v>Craft stone blades [label descriptive]</x:v>
      </x:c>
      <x:c r="D9" s="24" t="str">
        <x:v>Weapon/Tool Crafting</x:v>
      </x:c>
      <x:c r="E9" s="24" t="str">
        <x:v>Tasks &gt; Daily</x:v>
      </x:c>
      <x:c r="F9" s="24" t="str">
        <x:v>Craft pebble stone blades for routine skill/task credit.</x:v>
      </x:c>
      <x:c r="G9" s="24" t="str">
        <x:v>Pebble Stone Blade</x:v>
      </x:c>
      <x:c r="H9" s="24"/>
      <x:c r="I9" s="24"/>
      <x:c r="J9" s="24" t="str">
        <x:v>Daily rewards (amount unknown)</x:v>
      </x:c>
      <x:c r="K9" s="24" t="str">
        <x:v>Daily</x:v>
      </x:c>
      <x:c r="L9" s="24" t="str">
        <x:v>Activity sourced; daily title and quantity missing</x:v>
      </x:c>
      <x:c r="M9" s="24" t="str">
        <x:v>No (descriptive)</x:v>
      </x:c>
      <x:c r="N9" s="24" t="str">
        <x:v>Player mentions stone blades for skill and tasks, not an exact objective.</x:v>
      </x:c>
      <x:c r="O9" s="24" t="str">
        <x:v>https://www.reddit.com/r/DurangoWildLands/comments/c296hj</x:v>
      </x:c>
    </x:row>
    <x:row r="10" ht="30" customHeight="1">
      <x:c r="A10" s="24" t="str">
        <x:v>DW-T0122</x:v>
      </x:c>
      <x:c r="B10" s="24" t="str">
        <x:v>Daily tasks</x:v>
      </x:c>
      <x:c r="C10" s="24" t="str">
        <x:v>Gather resources [label descriptive]</x:v>
      </x:c>
      <x:c r="D10" s="24" t="str">
        <x:v>Gathering</x:v>
      </x:c>
      <x:c r="E10" s="24" t="str">
        <x:v>Tasks &gt; Daily</x:v>
      </x:c>
      <x:c r="F10" s="24" t="str">
        <x:v>Gather designated resources; number and materials vary.</x:v>
      </x:c>
      <x:c r="G10" s="24" t="str">
        <x:v>Resources</x:v>
      </x:c>
      <x:c r="H10" s="24"/>
      <x:c r="I10" s="24"/>
      <x:c r="J10" s="24" t="str">
        <x:v>EXP, T-Stones, task points</x:v>
      </x:c>
      <x:c r="K10" s="24" t="str">
        <x:v>Daily</x:v>
      </x:c>
      <x:c r="L10" s="24" t="str">
        <x:v>System verified; exact task not recovered</x:v>
      </x:c>
      <x:c r="M10" s="24" t="str">
        <x:v>No (descriptive)</x:v>
      </x:c>
      <x:c r="N10" s="24" t="str">
        <x:v>2017 beta patch describes gathering as a typical daily objective.</x:v>
      </x:c>
      <x:c r="O10" s="24" t="str">
        <x:v>https://m.inven.co.kr/webzine/wznews.php?idx=191476&amp;iskin=durango</x:v>
      </x:c>
    </x:row>
    <x:row r="11" ht="30" customHeight="1">
      <x:c r="A11" s="24" t="str">
        <x:v>DW-T0123</x:v>
      </x:c>
      <x:c r="B11" s="24" t="str">
        <x:v>Daily tasks</x:v>
      </x:c>
      <x:c r="C11" s="24" t="str">
        <x:v>Construct a building [label descriptive]</x:v>
      </x:c>
      <x:c r="D11" s="24" t="str">
        <x:v>Construction</x:v>
      </x:c>
      <x:c r="E11" s="24" t="str">
        <x:v>Tasks &gt; Daily</x:v>
      </x:c>
      <x:c r="F11" s="24" t="str">
        <x:v>Build the specified structure; details vary.</x:v>
      </x:c>
      <x:c r="G11" s="24" t="str">
        <x:v>Building</x:v>
      </x:c>
      <x:c r="H11" s="24"/>
      <x:c r="I11" s="24"/>
      <x:c r="J11" s="24" t="str">
        <x:v>EXP, T-Stones, task points</x:v>
      </x:c>
      <x:c r="K11" s="24" t="str">
        <x:v>Daily</x:v>
      </x:c>
      <x:c r="L11" s="24" t="str">
        <x:v>System verified; exact task not recovered</x:v>
      </x:c>
      <x:c r="M11" s="24" t="str">
        <x:v>No (descriptive)</x:v>
      </x:c>
      <x:c r="N11" s="24" t="str">
        <x:v>2017 beta patch describes building as a typical daily objective.</x:v>
      </x:c>
      <x:c r="O11" s="24" t="str">
        <x:v>https://m.inven.co.kr/webzine/wznews.php?idx=191476&amp;iskin=durango</x:v>
      </x:c>
    </x:row>
    <x:row r="12" ht="30" customHeight="1">
      <x:c r="A12" s="24" t="str">
        <x:v>DW-T0124</x:v>
      </x:c>
      <x:c r="B12" s="24" t="str">
        <x:v>Daily tasks</x:v>
      </x:c>
      <x:c r="C12" s="24" t="str">
        <x:v>Daily task-point threshold: 50 points</x:v>
      </x:c>
      <x:c r="D12" s="24" t="str">
        <x:v>Daily meta</x:v>
      </x:c>
      <x:c r="E12" s="24" t="str">
        <x:v>Tasks &gt; Daily</x:v>
      </x:c>
      <x:c r="F12" s="24" t="str">
        <x:v>Complete enough daily tasks to reach 50 task points.</x:v>
      </x:c>
      <x:c r="G12" s="24" t="str">
        <x:v>Task points</x:v>
      </x:c>
      <x:c r="H12" s="24" t="n">
        <x:v>50</x:v>
      </x:c>
      <x:c r="I12" s="24"/>
      <x:c r="J12" s="24" t="str">
        <x:v>15 Warp Gems</x:v>
      </x:c>
      <x:c r="K12" s="24" t="str">
        <x:v>Daily</x:v>
      </x:c>
      <x:c r="L12" s="24" t="str">
        <x:v>Threshold documented</x:v>
      </x:c>
      <x:c r="M12" s="24" t="str">
        <x:v>No (descriptive)</x:v>
      </x:c>
      <x:c r="N12" s="24" t="str">
        <x:v>This is a reward threshold, not necessarily an independently named task.</x:v>
      </x:c>
      <x:c r="O12" s="24" t="str">
        <x:v>https://www.levelwinner.com/durango-wild-lands-survival-guide-tips-cheats-strategies-to-maximize-growth-and-become-a-top-survivor/</x:v>
      </x:c>
    </x:row>
    <x:row r="13" ht="30" customHeight="1">
      <x:c r="A13" s="24" t="str">
        <x:v>DW-T0125</x:v>
      </x:c>
      <x:c r="B13" s="24" t="str">
        <x:v>Weekly tasks</x:v>
      </x:c>
      <x:c r="C13" s="24" t="str">
        <x:v>Explore Level-30 islands [label descriptive]</x:v>
      </x:c>
      <x:c r="D13" s="24" t="str">
        <x:v>Exploration</x:v>
      </x:c>
      <x:c r="E13" s="24" t="str">
        <x:v>Tasks &gt; Weekly</x:v>
      </x:c>
      <x:c r="F13" s="24" t="str">
        <x:v>Explore higher-level islands, with associated pioneer missions on Lv. 30 islands.</x:v>
      </x:c>
      <x:c r="G13" s="24" t="str">
        <x:v>Level-30 island missions</x:v>
      </x:c>
      <x:c r="H13" s="24"/>
      <x:c r="I13" s="24"/>
      <x:c r="J13" s="24" t="str">
        <x:v>Around 10,000 T-Stones (2019 player estimate)</x:v>
      </x:c>
      <x:c r="K13" s="24" t="str">
        <x:v>Weekly</x:v>
      </x:c>
      <x:c r="L13" s="24" t="str">
        <x:v>Objective and approximate reward sourced</x:v>
      </x:c>
      <x:c r="M13" s="24" t="str">
        <x:v>No (descriptive)</x:v>
      </x:c>
      <x:c r="N13" s="24" t="str">
        <x:v>Exact weekly task name, quantities and required island count are unavailable.</x:v>
      </x:c>
      <x:c r="O13" s="24" t="str">
        <x:v>https://www.reddit.com/r/DurangoWildLands/comments/bvjgh4</x:v>
      </x:c>
    </x:row>
    <x:row r="14" ht="30" customHeight="1">
      <x:c r="A14" s="24" t="str">
        <x:v>DW-T0126</x:v>
      </x:c>
      <x:c r="B14" s="24" t="str">
        <x:v>General / tutorial</x:v>
      </x:c>
      <x:c r="C14" s="24" t="str">
        <x:v>Encourage Other Pioneers With a Cheer</x:v>
      </x:c>
      <x:c r="D14" s="24" t="str">
        <x:v>Social</x:v>
      </x:c>
      <x:c r="E14" s="24" t="str">
        <x:v>Quests / tutorial</x:v>
      </x:c>
      <x:c r="F14" s="24" t="str">
        <x:v>Approach another player and use the Cheer (smiley) emote.</x:v>
      </x:c>
      <x:c r="G14" s="24" t="str">
        <x:v>Cheer emote</x:v>
      </x:c>
      <x:c r="H14" s="24" t="n">
        <x:v>1</x:v>
      </x:c>
      <x:c r="I14" s="24"/>
      <x:c r="J14" s="24" t="str">
        <x:v>Not recorded</x:v>
      </x:c>
      <x:c r="K14" s="24" t="str">
        <x:v>Unclear</x:v>
      </x:c>
      <x:c r="L14" s="24" t="str">
        <x:v>Named objective sourced</x:v>
      </x:c>
      <x:c r="M14" s="24" t="str">
        <x:v>Yes</x:v>
      </x:c>
      <x:c r="N14" s="24" t="str">
        <x:v>The emote had a reported 1-minute cooldown.</x:v>
      </x:c>
      <x:c r="O14" s="24" t="str">
        <x:v>https://www.mrguider.org/cheats/durango-wild-lands-guide-tips-cheats-strategies/</x:v>
      </x:c>
    </x:row>
    <x:row r="15" ht="30" customHeight="1">
      <x:c r="A15" s="24" t="str">
        <x:v>DW-T0127</x:v>
      </x:c>
      <x:c r="B15" s="24" t="str">
        <x:v>Career / construction tasks</x:v>
      </x:c>
      <x:c r="C15" s="24" t="str">
        <x:v>Construct an Advanced Kiln [task name unknown]</x:v>
      </x:c>
      <x:c r="D15" s="24" t="str">
        <x:v>Construction</x:v>
      </x:c>
      <x:c r="E15" s="24" t="str">
        <x:v>Civilized domain</x:v>
      </x:c>
      <x:c r="F15" s="24" t="str">
        <x:v>Craft/install the advanced kiln as a step in civilized-domain construction objectives.</x:v>
      </x:c>
      <x:c r="G15" s="24" t="str">
        <x:v>Advanced Kiln</x:v>
      </x:c>
      <x:c r="H15" s="24" t="n">
        <x:v>1</x:v>
      </x:c>
      <x:c r="I15" s="24"/>
      <x:c r="J15" s="24" t="str">
        <x:v>Skill points (exact number unknown)</x:v>
      </x:c>
      <x:c r="K15" s="24" t="str">
        <x:v>Career / progression</x:v>
      </x:c>
      <x:c r="L15" s="24" t="str">
        <x:v>Player report; exact task unknown</x:v>
      </x:c>
      <x:c r="M15" s="24" t="str">
        <x:v>No (descriptive)</x:v>
      </x:c>
      <x:c r="N15" s="24" t="str">
        <x:v>The commenter reported continuing construction tasks that award SP. Described stopping at Advanced Kiln.</x:v>
      </x:c>
      <x:c r="O15" s="24" t="str">
        <x:v>https://www.reddit.com/r/DurangoWildLands/comments/cocnny</x:v>
      </x:c>
    </x:row>
    <x:row r="16" ht="30" customHeight="1">
      <x:c r="A16" s="24" t="str">
        <x:v>DW-T0128</x:v>
      </x:c>
      <x:c r="B16" s="24" t="str">
        <x:v>Career / construction tasks</x:v>
      </x:c>
      <x:c r="C16" s="24" t="str">
        <x:v>Civilized domain building tasks [series]</x:v>
      </x:c>
      <x:c r="D16" s="24" t="str">
        <x:v>Construction</x:v>
      </x:c>
      <x:c r="E16" s="24" t="str">
        <x:v>Civilized domain</x:v>
      </x:c>
      <x:c r="F16" s="24" t="str">
        <x:v>Complete staged structure-construction challenges.</x:v>
      </x:c>
      <x:c r="G16" s="24" t="str">
        <x:v>Building structures</x:v>
      </x:c>
      <x:c r="H16" s="24"/>
      <x:c r="I16" s="24"/>
      <x:c r="J16" s="24" t="str">
        <x:v>Extra skill points</x:v>
      </x:c>
      <x:c r="K16" s="24" t="str">
        <x:v>Progressive</x:v>
      </x:c>
      <x:c r="L16" s="24" t="str">
        <x:v>Series attested; individual tasks unavailable</x:v>
      </x:c>
      <x:c r="M16" s="24" t="str">
        <x:v>No (descriptive)</x:v>
      </x:c>
      <x:c r="N16" s="24" t="str">
        <x:v>Do not interpret this grouped entry as one specific task.</x:v>
      </x:c>
      <x:c r="O16" s="24" t="str">
        <x:v>https://www.reddit.com/r/DurangoWildLands/comments/cocnny</x:v>
      </x:c>
    </x:row>
    <x:row r="17" ht="30" customHeight="1">
      <x:c r="A17" s="24" t="str">
        <x:v>DW-T0129</x:v>
      </x:c>
      <x:c r="B17" s="24" t="str">
        <x:v>Career / construction tasks</x:v>
      </x:c>
      <x:c r="C17" s="24" t="str">
        <x:v>Rank III Leather Outfits</x:v>
      </x:c>
      <x:c r="D17" s="24" t="str">
        <x:v>Tailoring</x:v>
      </x:c>
      <x:c r="E17" s="24" t="str">
        <x:v>Career Guide</x:v>
      </x:c>
      <x:c r="F17" s="24" t="str">
        <x:v>Reach rank III making leather outfits.</x:v>
      </x:c>
      <x:c r="G17" s="24" t="str">
        <x:v>Leather Outfits</x:v>
      </x:c>
      <x:c r="H17" s="24" t="n">
        <x:v>3</x:v>
      </x:c>
      <x:c r="I17" s="24"/>
      <x:c r="J17" s="24" t="str">
        <x:v>Career reward; title/bonus may vary</x:v>
      </x:c>
      <x:c r="K17" s="24" t="str">
        <x:v>One-time</x:v>
      </x:c>
      <x:c r="L17" s="24" t="str">
        <x:v>Requirement attested; exact milestone uncertain</x:v>
      </x:c>
      <x:c r="M17" s="24" t="str">
        <x:v>No (descriptive)</x:v>
      </x:c>
      <x:c r="N17" s="24" t="str">
        <x:v>Example cited in a contemporary review, not tied to a specific named career guide.</x:v>
      </x:c>
      <x:c r="O17" s="24" t="str">
        <x:v>https://www.mmorpg.com/columns/durango-wild-lands-review-big-things-do-come-in-small-packages-2000108364</x:v>
      </x:c>
    </x:row>
    <x:row r="18" ht="30" customHeight="1">
      <x:c r="A18" s="24" t="str">
        <x:v>DW-T0137</x:v>
      </x:c>
      <x:c r="B18" s="24" t="str">
        <x:v>In-game achievements</x:v>
      </x:c>
      <x:c r="C18" s="24" t="str">
        <x:v>Gather 1,000 Level-60 minerals</x:v>
      </x:c>
      <x:c r="D18" s="24" t="str">
        <x:v>Gathering</x:v>
      </x:c>
      <x:c r="E18" s="24" t="str">
        <x:v>Tasks &gt; Achievements</x:v>
      </x:c>
      <x:c r="F18" s="24" t="str">
        <x:v>Gather 1,000 minerals at material Lv. 60.</x:v>
      </x:c>
      <x:c r="G18" s="24" t="str">
        <x:v>Level-60 minerals</x:v>
      </x:c>
      <x:c r="H18" s="24" t="n">
        <x:v>1000</x:v>
      </x:c>
      <x:c r="I18" s="24" t="n">
        <x:v>60</x:v>
      </x:c>
      <x:c r="J18" s="24" t="str">
        <x:v>+1 Skill Point (player report)</x:v>
      </x:c>
      <x:c r="K18" s="24" t="str">
        <x:v>Long-term</x:v>
      </x:c>
      <x:c r="L18" s="24" t="str">
        <x:v>Specific player report; title unverified</x:v>
      </x:c>
      <x:c r="M18" s="24" t="str">
        <x:v>No (descriptive)</x:v>
      </x:c>
      <x:c r="N18" s="24" t="str">
        <x:v>Do not confuse with Google Play achievements.</x:v>
      </x:c>
      <x:c r="O18" s="24" t="str">
        <x:v>https://www.reddit.com/r/DurangoWildLands/comments/cocnny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7797b26f4f7e4f9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3" hidden="0" customWidth="1"/>
    <x:col min="4" max="4" width="30" hidden="0" customWidth="1"/>
    <x:col min="5" max="5" width="28" hidden="0" customWidth="1"/>
    <x:col min="6" max="6" width="55" hidden="0" customWidth="1"/>
    <x:col min="7" max="7" width="30" hidden="0" customWidth="1"/>
    <x:col min="8" max="8" width="10" hidden="0" customWidth="1"/>
    <x:col min="9" max="9" width="16" hidden="0" customWidth="1"/>
    <x:col min="10" max="10" width="53" hidden="0" customWidth="1"/>
    <x:col min="11" max="11" width="22" hidden="0" customWidth="1"/>
    <x:col min="12" max="12" width="42" hidden="0" customWidth="1"/>
    <x:col min="13" max="13" width="22" hidden="0" customWidth="1"/>
    <x:col min="14" max="14" width="60" hidden="0" customWidth="1"/>
    <x:col min="15" max="15" width="52" hidden="0" customWidth="1"/>
  </x:cols>
  <x:sheetData>
    <x:row r="1" ht="38" customHeight="1">
      <x:c r="A1" s="4" t="str">
        <x:v>EVENTS AND FINALE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10" t="str">
        <x:v>7 event/story records | 8-chapter ending chain is a single grouped placeholder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28" customHeight="1">
      <x:c r="A4" s="17" t="str">
        <x:v>ID</x:v>
      </x:c>
      <x:c r="B4" s="17" t="str">
        <x:v>System</x:v>
      </x:c>
      <x:c r="C4" s="17" t="str">
        <x:v>Task / title</x:v>
      </x:c>
      <x:c r="D4" s="17" t="str">
        <x:v>Faction / path</x:v>
      </x:c>
      <x:c r="E4" s="17" t="str">
        <x:v>Island / context</x:v>
      </x:c>
      <x:c r="F4" s="17" t="str">
        <x:v>Objective / requirement</x:v>
      </x:c>
      <x:c r="G4" s="17" t="str">
        <x:v>Target item / enemy</x:v>
      </x:c>
      <x:c r="H4" s="17" t="str">
        <x:v>Qty</x:v>
      </x:c>
      <x:c r="I4" s="17" t="str">
        <x:v>Min item Lv.</x:v>
      </x:c>
      <x:c r="J4" s="17" t="str">
        <x:v>Rewards / effects</x:v>
      </x:c>
      <x:c r="K4" s="17" t="str">
        <x:v>Recurrence</x:v>
      </x:c>
      <x:c r="L4" s="17" t="str">
        <x:v>Evidence</x:v>
      </x:c>
      <x:c r="M4" s="17" t="str">
        <x:v>Official task name?</x:v>
      </x:c>
      <x:c r="N4" s="17" t="str">
        <x:v>Research notes</x:v>
      </x:c>
      <x:c r="O4" s="17" t="str">
        <x:v>Source URL</x:v>
      </x:c>
    </x:row>
    <x:row r="5" ht="30" customHeight="1">
      <x:c r="A5" s="24" t="str">
        <x:v>DW-T0130</x:v>
      </x:c>
      <x:c r="B5" s="24" t="str">
        <x:v>Events / special quests</x:v>
      </x:c>
      <x:c r="C5" s="24" t="str">
        <x:v>Trainee Rescue Worker</x:v>
      </x:c>
      <x:c r="D5" s="24" t="str">
        <x:v>Lifeline event</x:v>
      </x:c>
      <x:c r="E5" s="24" t="str">
        <x:v>Limited event / title</x:v>
      </x:c>
      <x:c r="F5" s="24" t="str">
        <x:v>Complete a Lifeline support mission as a backup agent</x:v>
      </x:c>
      <x:c r="G5" s="24" t="str"/>
      <x:c r="H5" s="24"/>
      <x:c r="I5" s="24"/>
      <x:c r="J5" s="24" t="str">
        <x:v>Title 'Trainee Rescue Worker' / 10 WIL title attribute</x:v>
      </x:c>
      <x:c r="K5" s="24" t="str">
        <x:v>Limited / one-time</x:v>
      </x:c>
      <x:c r="L5" s="24" t="str">
        <x:v>Named event reward &amp; description</x:v>
      </x:c>
      <x:c r="M5" s="24" t="str">
        <x:v>Yes</x:v>
      </x:c>
      <x:c r="N5" s="24" t="str">
        <x:v>The mastersheet lists a title associated with the quest, not a complete quest objective chain.</x:v>
      </x:c>
      <x:c r="O5" s="24" t="str">
        <x:v>https://www.scribd.com/document/501357601/Durango-Wildlands-Mastersheet</x:v>
      </x:c>
    </x:row>
    <x:row r="6" ht="30" customHeight="1">
      <x:c r="A6" s="24" t="str">
        <x:v>DW-T0131</x:v>
      </x:c>
      <x:c r="B6" s="24" t="str">
        <x:v>Events / special quests</x:v>
      </x:c>
      <x:c r="C6" s="24" t="str">
        <x:v>Veteran Rescue Worker</x:v>
      </x:c>
      <x:c r="D6" s="24" t="str">
        <x:v>Lifeline event</x:v>
      </x:c>
      <x:c r="E6" s="24" t="str">
        <x:v>Limited event / title</x:v>
      </x:c>
      <x:c r="F6" s="24" t="str">
        <x:v>Complete a Lifeline rescue mission as a field agent</x:v>
      </x:c>
      <x:c r="G6" s="24" t="str"/>
      <x:c r="H6" s="24"/>
      <x:c r="I6" s="24"/>
      <x:c r="J6" s="24" t="str">
        <x:v>Title 'Veteran Rescue Worker' / 15 WIL title attribute</x:v>
      </x:c>
      <x:c r="K6" s="24" t="str">
        <x:v>Limited / one-time</x:v>
      </x:c>
      <x:c r="L6" s="24" t="str">
        <x:v>Named event reward &amp; description</x:v>
      </x:c>
      <x:c r="M6" s="24" t="str">
        <x:v>Yes</x:v>
      </x:c>
      <x:c r="N6" s="24" t="str">
        <x:v>The mastersheet lists a title associated with the quest, not a complete quest objective chain.</x:v>
      </x:c>
      <x:c r="O6" s="24" t="str">
        <x:v>https://www.scribd.com/document/501357601/Durango-Wildlands-Mastersheet</x:v>
      </x:c>
    </x:row>
    <x:row r="7" ht="30" customHeight="1">
      <x:c r="A7" s="24" t="str">
        <x:v>DW-T0132</x:v>
      </x:c>
      <x:c r="B7" s="24" t="str">
        <x:v>Events / special quests</x:v>
      </x:c>
      <x:c r="C7" s="24" t="str">
        <x:v>Lifeline Leader</x:v>
      </x:c>
      <x:c r="D7" s="24" t="str">
        <x:v>Lifeline event</x:v>
      </x:c>
      <x:c r="E7" s="24" t="str">
        <x:v>Limited event / title</x:v>
      </x:c>
      <x:c r="F7" s="24" t="str">
        <x:v>Complete a Lifeline classified intelligence mission</x:v>
      </x:c>
      <x:c r="G7" s="24" t="str"/>
      <x:c r="H7" s="24"/>
      <x:c r="I7" s="24"/>
      <x:c r="J7" s="24" t="str">
        <x:v>Title 'Lifeline Leader' / 23 WIL title attribute</x:v>
      </x:c>
      <x:c r="K7" s="24" t="str">
        <x:v>Limited / one-time</x:v>
      </x:c>
      <x:c r="L7" s="24" t="str">
        <x:v>Named event reward &amp; description</x:v>
      </x:c>
      <x:c r="M7" s="24" t="str">
        <x:v>Yes</x:v>
      </x:c>
      <x:c r="N7" s="24" t="str">
        <x:v>The mastersheet lists a title associated with the quest, not a complete quest objective chain.</x:v>
      </x:c>
      <x:c r="O7" s="24" t="str">
        <x:v>https://www.scribd.com/document/501357601/Durango-Wildlands-Mastersheet</x:v>
      </x:c>
    </x:row>
    <x:row r="8" ht="30" customHeight="1">
      <x:c r="A8" s="24" t="str">
        <x:v>DW-T0133</x:v>
      </x:c>
      <x:c r="B8" s="24" t="str">
        <x:v>Events / special quests</x:v>
      </x:c>
      <x:c r="C8" s="24" t="str">
        <x:v>Allosaurus Hunter</x:v>
      </x:c>
      <x:c r="D8" s="24" t="str">
        <x:v>Special event</x:v>
      </x:c>
      <x:c r="E8" s="24" t="str">
        <x:v>Limited event / title</x:v>
      </x:c>
      <x:c r="F8" s="24" t="str">
        <x:v>Hunt an Allosaurus and save the enemy (source phrasing)</x:v>
      </x:c>
      <x:c r="G8" s="24" t="str"/>
      <x:c r="H8" s="24"/>
      <x:c r="I8" s="24"/>
      <x:c r="J8" s="24" t="str">
        <x:v>Title 'Allosaurus Hunter' / Latent/rare attribute rate +0.2 title bonus</x:v>
      </x:c>
      <x:c r="K8" s="24" t="str">
        <x:v>Limited / one-time</x:v>
      </x:c>
      <x:c r="L8" s="24" t="str">
        <x:v>Named event reward &amp; description</x:v>
      </x:c>
      <x:c r="M8" s="24" t="str">
        <x:v>Yes</x:v>
      </x:c>
      <x:c r="N8" s="24" t="str">
        <x:v>The mastersheet lists a title associated with the quest, not a complete quest objective chain.</x:v>
      </x:c>
      <x:c r="O8" s="24" t="str">
        <x:v>https://www.scribd.com/document/501357601/Durango-Wildlands-Mastersheet</x:v>
      </x:c>
    </x:row>
    <x:row r="9" ht="30" customHeight="1">
      <x:c r="A9" s="24" t="str">
        <x:v>DW-T0134</x:v>
      </x:c>
      <x:c r="B9" s="24" t="str">
        <x:v>Events / special quests</x:v>
      </x:c>
      <x:c r="C9" s="24" t="str">
        <x:v>Christmas event quests [series]</x:v>
      </x:c>
      <x:c r="D9" s="24" t="str">
        <x:v>Seasonal</x:v>
      </x:c>
      <x:c r="E9" s="24" t="str">
        <x:v>Christmas event</x:v>
      </x:c>
      <x:c r="F9" s="24" t="str">
        <x:v>Participate in time-limited Christmas quests; names not recovered.</x:v>
      </x:c>
      <x:c r="G9" s="24"/>
      <x:c r="H9" s="24"/>
      <x:c r="I9" s="24"/>
      <x:c r="J9" s="24" t="str">
        <x:v>Seasonal rewards (unknown)</x:v>
      </x:c>
      <x:c r="K9" s="24" t="str">
        <x:v>Seasonal</x:v>
      </x:c>
      <x:c r="L9" s="24" t="str">
        <x:v>Event system sourced; task list missing</x:v>
      </x:c>
      <x:c r="M9" s="24" t="str">
        <x:v>No (descriptive)</x:v>
      </x:c>
      <x:c r="N9" s="24" t="str">
        <x:v>Event referenced in 2017 beta; not enumerated.</x:v>
      </x:c>
      <x:c r="O9" s="24" t="str">
        <x:v>https://m.inven.co.kr/webzine/wznews.php?idx=191476&amp;iskin=durango</x:v>
      </x:c>
    </x:row>
    <x:row r="10" ht="30" customHeight="1">
      <x:c r="A10" s="24" t="str">
        <x:v>DW-T0135</x:v>
      </x:c>
      <x:c r="B10" s="24" t="str">
        <x:v>Endgame story</x:v>
      </x:c>
      <x:c r="C10" s="24" t="str">
        <x:v>Final storyline [8 quests]</x:v>
      </x:c>
      <x:c r="D10" s="24" t="str">
        <x:v>Main story</x:v>
      </x:c>
      <x:c r="E10" s="24" t="str">
        <x:v>Nov–Dec 2019</x:v>
      </x:c>
      <x:c r="F10" s="24" t="str">
        <x:v>Complete the eight-part finale featuring K and X; separate chapter names unverified.</x:v>
      </x:c>
      <x:c r="G10" s="24" t="str">
        <x:v>Storyline</x:v>
      </x:c>
      <x:c r="H10" s="24" t="n">
        <x:v>8</x:v>
      </x:c>
      <x:c r="I10" s="24"/>
      <x:c r="J10" s="24" t="str">
        <x:v>Final-story narrative (specific item rewards unknown)</x:v>
      </x:c>
      <x:c r="K10" s="24" t="str">
        <x:v>One-time</x:v>
      </x:c>
      <x:c r="L10" s="24" t="str">
        <x:v>8-quest count verified; titles not recovered</x:v>
      </x:c>
      <x:c r="M10" s="24" t="str">
        <x:v>No (descriptive)</x:v>
      </x:c>
      <x:c r="N10" s="24" t="str">
        <x:v>Grouped placeholder, not eight invented separate quest records.</x:v>
      </x:c>
      <x:c r="O10" s="24" t="str">
        <x:v>https://www.inven.co.kr/webzine/news/?game=5137&amp;iskin=mini&amp;news=257238</x:v>
      </x:c>
    </x:row>
    <x:row r="11" ht="30" customHeight="1">
      <x:c r="A11" s="24" t="str">
        <x:v>DW-T0136</x:v>
      </x:c>
      <x:c r="B11" s="24" t="str">
        <x:v>Events / special quests</x:v>
      </x:c>
      <x:c r="C11" s="24" t="str">
        <x:v>Final-story side quests [series]</x:v>
      </x:c>
      <x:c r="D11" s="24" t="str">
        <x:v>Side story</x:v>
      </x:c>
      <x:c r="E11" s="24" t="str">
        <x:v>Nov–Dec 2019</x:v>
      </x:c>
      <x:c r="F11" s="24" t="str">
        <x:v>Optional narrative side quests covering developers' stories and Durango history.</x:v>
      </x:c>
      <x:c r="G11" s="24" t="str">
        <x:v>Side stories</x:v>
      </x:c>
      <x:c r="H11" s="24"/>
      <x:c r="I11" s="24"/>
      <x:c r="J11" s="24" t="str">
        <x:v>Unknown</x:v>
      </x:c>
      <x:c r="K11" s="24" t="str">
        <x:v>Limited story event</x:v>
      </x:c>
      <x:c r="L11" s="24" t="str">
        <x:v>Side-quest system sourced; names unavailable</x:v>
      </x:c>
      <x:c r="M11" s="24" t="str">
        <x:v>No (descriptive)</x:v>
      </x:c>
      <x:c r="N11" s="24" t="str">
        <x:v>Used the daily-quest system as a technical base.</x:v>
      </x:c>
      <x:c r="O11" s="24" t="str">
        <x:v>https://www.inven.co.kr/webzine/news/?game=5137&amp;iskin=mini&amp;news=257238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ea6e459e6818448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5" hidden="0" customWidth="1"/>
    <x:col min="3" max="3" width="61" hidden="0" customWidth="1"/>
    <x:col min="4" max="4" width="32" hidden="0" customWidth="1"/>
    <x:col min="5" max="5" width="57" hidden="0" customWidth="1"/>
  </x:cols>
  <x:sheetData>
    <x:row r="1" ht="38" customHeight="1">
      <x:c r="A1" s="4" t="str">
        <x:v>FACTION RANK TITLES</x:v>
      </x:c>
      <x:c r="B1" s="4"/>
      <x:c r="C1" s="4"/>
      <x:c r="D1" s="4"/>
      <x:c r="E1" s="4"/>
    </x:row>
    <x:row r="2" ht="28" customHeight="1">
      <x:c r="A2" s="10" t="str">
        <x:v>20 rank-linked titles | contextual progression rewards, NOT 20 separate confirmed missions</x:v>
      </x:c>
      <x:c r="B2" s="10"/>
      <x:c r="C2" s="10"/>
      <x:c r="D2" s="10"/>
      <x:c r="E2" s="10"/>
    </x:row>
    <x:row r="4" ht="28" customHeight="1">
      <x:c r="A4" s="17" t="str">
        <x:v>Faction</x:v>
      </x:c>
      <x:c r="B4" s="17" t="str">
        <x:v>Rank-title</x:v>
      </x:c>
      <x:c r="C4" s="17" t="str">
        <x:v>Original description (paraphrased)</x:v>
      </x:c>
      <x:c r="D4" s="17" t="str">
        <x:v>Bonus from title</x:v>
      </x:c>
      <x:c r="E4" s="17" t="str">
        <x:v>Source URL</x:v>
      </x:c>
    </x:row>
    <x:row r="5" ht="30" customHeight="1">
      <x:c r="A5" s="24" t="str">
        <x:v>The Company</x:v>
      </x:c>
      <x:c r="B5" s="24" t="str">
        <x:v>Walk-and-Talker</x:v>
      </x:c>
      <x:c r="C5" s="24" t="str">
        <x:v>Got a walkie-talkie from the Company.</x:v>
      </x:c>
      <x:c r="D5" s="24" t="str">
        <x:v>CHA +7; DEX +3</x:v>
      </x:c>
      <x:c r="E5" s="24" t="str">
        <x:v>https://www.scribd.com/document/501357601/Durango-Wildlands-Mastersheet</x:v>
      </x:c>
    </x:row>
    <x:row r="6" ht="30" customHeight="1">
      <x:c r="A6" s="24" t="str">
        <x:v>The Company</x:v>
      </x:c>
      <x:c r="B6" s="24" t="str">
        <x:v>K's Acquaintance</x:v>
      </x:c>
      <x:c r="C6" s="24" t="str">
        <x:v>Met K.</x:v>
      </x:c>
      <x:c r="D6" s="24" t="str">
        <x:v>CHA +15; DEX +5</x:v>
      </x:c>
      <x:c r="E6" s="24" t="str">
        <x:v>https://www.scribd.com/document/501357601/Durango-Wildlands-Mastersheet</x:v>
      </x:c>
    </x:row>
    <x:row r="7" ht="30" customHeight="1">
      <x:c r="A7" s="24" t="str">
        <x:v>The Company</x:v>
      </x:c>
      <x:c r="B7" s="24" t="str">
        <x:v>Kindhearted</x:v>
      </x:c>
      <x:c r="C7" s="24" t="str">
        <x:v>Considered a kind person.</x:v>
      </x:c>
      <x:c r="D7" s="24" t="str">
        <x:v>CHA +22; DEX +8</x:v>
      </x:c>
      <x:c r="E7" s="24" t="str">
        <x:v>https://www.scribd.com/document/501357601/Durango-Wildlands-Mastersheet</x:v>
      </x:c>
    </x:row>
    <x:row r="8" ht="30" customHeight="1">
      <x:c r="A8" s="24" t="str">
        <x:v>The Company</x:v>
      </x:c>
      <x:c r="B8" s="24" t="str">
        <x:v>Trustworthy</x:v>
      </x:c>
      <x:c r="C8" s="24" t="str">
        <x:v>Considered a trustworthy person.</x:v>
      </x:c>
      <x:c r="D8" s="24" t="str">
        <x:v>CHA +30; DEX +10</x:v>
      </x:c>
      <x:c r="E8" s="24" t="str">
        <x:v>https://www.scribd.com/document/501357601/Durango-Wildlands-Mastersheet</x:v>
      </x:c>
    </x:row>
    <x:row r="9" ht="30" customHeight="1">
      <x:c r="A9" s="24" t="str">
        <x:v>Chlorophyll Forum</x:v>
      </x:c>
      <x:c r="B9" s="24" t="str">
        <x:v>Green Cell</x:v>
      </x:c>
      <x:c r="C9" s="24" t="str">
        <x:v>Green cells are taking over the world.</x:v>
      </x:c>
      <x:c r="D9" s="24" t="str">
        <x:v>AGI +7; WIL +3</x:v>
      </x:c>
      <x:c r="E9" s="24" t="str">
        <x:v>https://www.scribd.com/document/501357601/Durango-Wildlands-Mastersheet</x:v>
      </x:c>
    </x:row>
    <x:row r="10" ht="30" customHeight="1">
      <x:c r="A10" s="24" t="str">
        <x:v>Chlorophyll Forum</x:v>
      </x:c>
      <x:c r="B10" s="24" t="str">
        <x:v>Born Again Green</x:v>
      </x:c>
      <x:c r="C10" s="24" t="str">
        <x:v>Joined/aligned with Chlorophyll Forum.</x:v>
      </x:c>
      <x:c r="D10" s="24" t="str">
        <x:v>AGI +15; WIL +5</x:v>
      </x:c>
      <x:c r="E10" s="24" t="str">
        <x:v>https://www.scribd.com/document/501357601/Durango-Wildlands-Mastersheet</x:v>
      </x:c>
    </x:row>
    <x:row r="11" ht="30" customHeight="1">
      <x:c r="A11" s="24" t="str">
        <x:v>Chlorophyll Forum</x:v>
      </x:c>
      <x:c r="B11" s="24" t="str">
        <x:v>Busy Bee</x:v>
      </x:c>
      <x:c r="C11" s="24" t="str">
        <x:v>Has many ecological activities to do.</x:v>
      </x:c>
      <x:c r="D11" s="24" t="str">
        <x:v>AGI +22; WIL +8</x:v>
      </x:c>
      <x:c r="E11" s="24" t="str">
        <x:v>https://www.scribd.com/document/501357601/Durango-Wildlands-Mastersheet</x:v>
      </x:c>
    </x:row>
    <x:row r="12" ht="30" customHeight="1">
      <x:c r="A12" s="24" t="str">
        <x:v>Chlorophyll Forum</x:v>
      </x:c>
      <x:c r="B12" s="24" t="str">
        <x:v>Ecological Elite</x:v>
      </x:c>
      <x:c r="C12" s="24" t="str">
        <x:v>Well versed in ecological activities.</x:v>
      </x:c>
      <x:c r="D12" s="24" t="str">
        <x:v>AGI +30; WIL +10</x:v>
      </x:c>
      <x:c r="E12" s="24" t="str">
        <x:v>https://www.scribd.com/document/501357601/Durango-Wildlands-Mastersheet</x:v>
      </x:c>
    </x:row>
    <x:row r="13" ht="30" customHeight="1">
      <x:c r="A13" s="24" t="str">
        <x:v>Frontier Coalition</x:v>
      </x:c>
      <x:c r="B13" s="24" t="str">
        <x:v>Five-Toed Sloth</x:v>
      </x:c>
      <x:c r="C13" s="24" t="str">
        <x:v>Early frontier status.</x:v>
      </x:c>
      <x:c r="D13" s="24" t="str">
        <x:v>END +7; INT +3</x:v>
      </x:c>
      <x:c r="E13" s="24" t="str">
        <x:v>https://www.scribd.com/document/501357601/Durango-Wildlands-Mastersheet</x:v>
      </x:c>
    </x:row>
    <x:row r="14" ht="30" customHeight="1">
      <x:c r="A14" s="24" t="str">
        <x:v>Frontier Coalition</x:v>
      </x:c>
      <x:c r="B14" s="24" t="str">
        <x:v>Intern No More</x:v>
      </x:c>
      <x:c r="C14" s="24" t="str">
        <x:v>Completed internship.</x:v>
      </x:c>
      <x:c r="D14" s="24" t="str">
        <x:v>END +15; INT +5</x:v>
      </x:c>
      <x:c r="E14" s="24" t="str">
        <x:v>https://www.scribd.com/document/501357601/Durango-Wildlands-Mastersheet</x:v>
      </x:c>
    </x:row>
    <x:row r="15" ht="30" customHeight="1">
      <x:c r="A15" s="24" t="str">
        <x:v>Frontier Coalition</x:v>
      </x:c>
      <x:c r="B15" s="24" t="str">
        <x:v>Brown-Noser</x:v>
      </x:c>
      <x:c r="C15" s="24" t="str">
        <x:v>Recognized as a company employee.</x:v>
      </x:c>
      <x:c r="D15" s="24" t="str">
        <x:v>END +22; INT +8</x:v>
      </x:c>
      <x:c r="E15" s="24" t="str">
        <x:v>https://www.scribd.com/document/501357601/Durango-Wildlands-Mastersheet</x:v>
      </x:c>
    </x:row>
    <x:row r="16" ht="30" customHeight="1">
      <x:c r="A16" s="24" t="str">
        <x:v>Frontier Coalition</x:v>
      </x:c>
      <x:c r="B16" s="24" t="str">
        <x:v>Pampered Executive</x:v>
      </x:c>
      <x:c r="C16" s="24" t="str">
        <x:v>High-ranking executive.</x:v>
      </x:c>
      <x:c r="D16" s="24" t="str">
        <x:v>END +30; INT +10</x:v>
      </x:c>
      <x:c r="E16" s="24" t="str">
        <x:v>https://www.scribd.com/document/501357601/Durango-Wildlands-Mastersheet</x:v>
      </x:c>
    </x:row>
    <x:row r="17" ht="30" customHeight="1">
      <x:c r="A17" s="24" t="str">
        <x:v>The Committee</x:v>
      </x:c>
      <x:c r="B17" s="24" t="str">
        <x:v>Ill-Informed</x:v>
      </x:c>
      <x:c r="C17" s="24" t="str">
        <x:v>Fell below X's standards.</x:v>
      </x:c>
      <x:c r="D17" s="24" t="str">
        <x:v>STR +7; END +3</x:v>
      </x:c>
      <x:c r="E17" s="24" t="str">
        <x:v>https://www.scribd.com/document/501357601/Durango-Wildlands-Mastersheet</x:v>
      </x:c>
    </x:row>
    <x:row r="18" ht="30" customHeight="1">
      <x:c r="A18" s="24" t="str">
        <x:v>The Committee</x:v>
      </x:c>
      <x:c r="B18" s="24" t="str">
        <x:v>Obedient</x:v>
      </x:c>
      <x:c r="C18" s="24" t="str">
        <x:v>Willing to do what X says.</x:v>
      </x:c>
      <x:c r="D18" s="24" t="str">
        <x:v>STR +15; END +5</x:v>
      </x:c>
      <x:c r="E18" s="24" t="str">
        <x:v>https://www.scribd.com/document/501357601/Durango-Wildlands-Mastersheet</x:v>
      </x:c>
    </x:row>
    <x:row r="19" ht="30" customHeight="1">
      <x:c r="A19" s="24" t="str">
        <x:v>The Committee</x:v>
      </x:c>
      <x:c r="B19" s="24" t="str">
        <x:v>Harried</x:v>
      </x:c>
      <x:c r="C19" s="24" t="str">
        <x:v>Dealt with X for months.</x:v>
      </x:c>
      <x:c r="D19" s="24" t="str">
        <x:v>STR +22; END +8</x:v>
      </x:c>
      <x:c r="E19" s="24" t="str">
        <x:v>https://www.scribd.com/document/501357601/Durango-Wildlands-Mastersheet</x:v>
      </x:c>
    </x:row>
    <x:row r="20" ht="30" customHeight="1">
      <x:c r="A20" s="24" t="str">
        <x:v>The Committee</x:v>
      </x:c>
      <x:c r="B20" s="24" t="str">
        <x:v>Philosophical</x:v>
      </x:c>
      <x:c r="C20" s="24" t="str">
        <x:v>Considered X's philosophical teachings.</x:v>
      </x:c>
      <x:c r="D20" s="24" t="str">
        <x:v>STR +30; END +10</x:v>
      </x:c>
      <x:c r="E20" s="24" t="str">
        <x:v>https://www.scribd.com/document/501357601/Durango-Wildlands-Mastersheet</x:v>
      </x:c>
    </x:row>
    <x:row r="21" ht="30" customHeight="1">
      <x:c r="A21" s="24" t="str">
        <x:v>Radio University</x:v>
      </x:c>
      <x:c r="B21" s="24" t="str">
        <x:v>Freshman</x:v>
      </x:c>
      <x:c r="C21" s="24" t="str">
        <x:v>New student.</x:v>
      </x:c>
      <x:c r="D21" s="24" t="str">
        <x:v>DEX +7; INT +3</x:v>
      </x:c>
      <x:c r="E21" s="24" t="str">
        <x:v>https://www.scribd.com/document/501357601/Durango-Wildlands-Mastersheet</x:v>
      </x:c>
    </x:row>
    <x:row r="22" ht="30" customHeight="1">
      <x:c r="A22" s="24" t="str">
        <x:v>Radio University</x:v>
      </x:c>
      <x:c r="B22" s="24" t="str">
        <x:v>Sophomore</x:v>
      </x:c>
      <x:c r="C22" s="24" t="str">
        <x:v>A more experienced student.</x:v>
      </x:c>
      <x:c r="D22" s="24" t="str">
        <x:v>DEX +15; INT +5</x:v>
      </x:c>
      <x:c r="E22" s="24" t="str">
        <x:v>https://www.scribd.com/document/501357601/Durango-Wildlands-Mastersheet</x:v>
      </x:c>
    </x:row>
    <x:row r="23" ht="30" customHeight="1">
      <x:c r="A23" s="24" t="str">
        <x:v>Radio University</x:v>
      </x:c>
      <x:c r="B23" s="24" t="str">
        <x:v>Junior</x:v>
      </x:c>
      <x:c r="C23" s="24" t="str">
        <x:v>Knowledgeable student.</x:v>
      </x:c>
      <x:c r="D23" s="24" t="str">
        <x:v>DEX +22; INT +8</x:v>
      </x:c>
      <x:c r="E23" s="24" t="str">
        <x:v>https://www.scribd.com/document/501357601/Durango-Wildlands-Mastersheet</x:v>
      </x:c>
    </x:row>
    <x:row r="24" ht="30" customHeight="1">
      <x:c r="A24" s="24" t="str">
        <x:v>Radio University</x:v>
      </x:c>
      <x:c r="B24" s="24" t="str">
        <x:v>Senior</x:v>
      </x:c>
      <x:c r="C24" s="24" t="str">
        <x:v>Attempting to master difficult subjects.</x:v>
      </x:c>
      <x:c r="D24" s="24" t="str">
        <x:v>DEX +30; INT +10</x:v>
      </x:c>
      <x:c r="E24" s="24" t="str">
        <x:v>https://www.scribd.com/document/501357601/Durango-Wildlands-Mastersheet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562b4c5fecb4ce5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6" hidden="0" customWidth="1"/>
    <x:col min="3" max="3" width="65" hidden="0" customWidth="1"/>
    <x:col min="4" max="4" width="70" hidden="0" customWidth="1"/>
    <x:col min="5" max="5" width="21" hidden="0" customWidth="1"/>
    <x:col min="6" max="6" width="80" hidden="0" customWidth="1"/>
  </x:cols>
  <x:sheetData>
    <x:row r="1" ht="38" customHeight="1">
      <x:c r="A1" s="4" t="str">
        <x:v>SOURCES</x:v>
      </x:c>
      <x:c r="B1" s="4"/>
      <x:c r="C1" s="4"/>
      <x:c r="D1" s="4"/>
      <x:c r="E1" s="4"/>
      <x:c r="F1" s="4"/>
    </x:row>
    <x:row r="2" ht="28" customHeight="1">
      <x:c r="A2" s="10" t="str">
        <x:v>Every research source is linked | source-specific caveats included</x:v>
      </x:c>
      <x:c r="B2" s="10"/>
      <x:c r="C2" s="10"/>
      <x:c r="D2" s="10"/>
      <x:c r="E2" s="10"/>
      <x:c r="F2" s="10"/>
    </x:row>
    <x:row r="4" ht="28" customHeight="1">
      <x:c r="A4" s="17" t="str">
        <x:v>Source ID</x:v>
      </x:c>
      <x:c r="B4" s="17" t="str">
        <x:v>Source / archive</x:v>
      </x:c>
      <x:c r="C4" s="17" t="str">
        <x:v>Used for</x:v>
      </x:c>
      <x:c r="D4" s="17" t="str">
        <x:v>Limitations</x:v>
      </x:c>
      <x:c r="E4" s="17" t="str">
        <x:v>Publication era</x:v>
      </x:c>
      <x:c r="F4" s="17" t="str">
        <x:v>URL</x:v>
      </x:c>
    </x:row>
    <x:row r="5" ht="30" customHeight="1">
      <x:c r="A5" s="24" t="str">
        <x:v>S01</x:v>
      </x:c>
      <x:c r="B5" s="24" t="str">
        <x:v>Durango community mastersheet</x:v>
      </x:c>
      <x:c r="C5" s="24" t="str">
        <x:v>Mission table, 58 career-guide rewards, title stats, level-60 mission item/quantity info</x:v>
      </x:c>
      <x:c r="D5" s="24" t="str">
        <x:v>Community sourced; original Google Sheet link not recovered</x:v>
      </x:c>
      <x:c r="E5" s="24" t="str">
        <x:v>2019 community aggregation</x:v>
      </x:c>
      <x:c r="F5" s="24" t="str">
        <x:v>https://www.scribd.com/document/501357601/Durango-Wildlands-Mastersheet</x:v>
      </x:c>
    </x:row>
    <x:row r="6" ht="30" customHeight="1">
      <x:c r="A6" s="24" t="str">
        <x:v>S02</x:v>
      </x:c>
      <x:c r="B6" s="24" t="str">
        <x:v>Exophase Google Play achievements</x:v>
      </x:c>
      <x:c r="C6" s="24" t="str">
        <x:v>Complete platform list of 16 achievements and point values</x:v>
      </x:c>
      <x:c r="D6" s="24" t="str">
        <x:v>Google Play platform achievements, not in-game task board</x:v>
      </x:c>
      <x:c r="E6" s="24" t="str">
        <x:v>Legacy listing</x:v>
      </x:c>
      <x:c r="F6" s="24" t="str">
        <x:v>https://www.exophase.com/game/durango-wild-lands-android/achievements/</x:v>
      </x:c>
    </x:row>
    <x:row r="7" ht="30" customHeight="1">
      <x:c r="A7" s="24" t="str">
        <x:v>S03</x:v>
      </x:c>
      <x:c r="B7" s="24" t="str">
        <x:v>Durango career guide (TouchTapPlay)</x:v>
      </x:c>
      <x:c r="C7" s="24" t="str">
        <x:v>Career-guide mechanism and one detailed Gathering prerequisites example</x:v>
      </x:c>
      <x:c r="D7" s="24" t="str">
        <x:v>Most individual prerequisites unavailable</x:v>
      </x:c>
      <x:c r="E7" s="24" t="str">
        <x:v>2019-05-14</x:v>
      </x:c>
      <x:c r="F7" s="24" t="str">
        <x:v>https://www.touchtapplay.com/durango-wild-lands-careers-guide/</x:v>
      </x:c>
    </x:row>
    <x:row r="8" ht="30" customHeight="1">
      <x:c r="A8" s="24" t="str">
        <x:v>S04</x:v>
      </x:c>
      <x:c r="B8" s="24" t="str">
        <x:v>2017 Inven beta quest/task system</x:v>
      </x:c>
      <x:c r="C8" s="24" t="str">
        <x:v>Daily/permanent quests, XP, T-Stones, milestone mechanics</x:v>
      </x:c>
      <x:c r="D8" s="24" t="str">
        <x:v>Beta rules may have changed at global launch</x:v>
      </x:c>
      <x:c r="E8" s="24" t="str">
        <x:v>2017-12-21</x:v>
      </x:c>
      <x:c r="F8" s="24" t="str">
        <x:v>https://m.inven.co.kr/webzine/wznews.php?idx=191476&amp;iskin=durango</x:v>
      </x:c>
    </x:row>
    <x:row r="9" ht="30" customHeight="1">
      <x:c r="A9" s="24" t="str">
        <x:v>S05</x:v>
      </x:c>
      <x:c r="B9" s="24" t="str">
        <x:v>Task tips and rewards (Level Winner)</x:v>
      </x:c>
      <x:c r="C9" s="24" t="str">
        <x:v>50 daily task points -&gt; 15 Warp Gems, milestones vs achievements</x:v>
      </x:c>
      <x:c r="D9" s="24" t="str">
        <x:v>Not a full enumerated list</x:v>
      </x:c>
      <x:c r="E9" s="24" t="str">
        <x:v>2019-06-13</x:v>
      </x:c>
      <x:c r="F9" s="24" t="str">
        <x:v>https://www.levelwinner.com/durango-wild-lands-survival-guide-tips-cheats-strategies-to-maximize-growth-and-become-a-top-survivor/</x:v>
      </x:c>
    </x:row>
    <x:row r="10" ht="30" customHeight="1">
      <x:c r="A10" s="24" t="str">
        <x:v>S06</x:v>
      </x:c>
      <x:c r="B10" s="24" t="str">
        <x:v>MrGuider game guide</x:v>
      </x:c>
      <x:c r="C10" s="24" t="str">
        <x:v>Trim-material daily task; cheer task; communication center instructions</x:v>
      </x:c>
      <x:c r="D10" s="24" t="str">
        <x:v>Some text republished later, may be older game info</x:v>
      </x:c>
      <x:c r="E10" s="24" t="str">
        <x:v>Guide archived</x:v>
      </x:c>
      <x:c r="F10" s="24" t="str">
        <x:v>https://www.mrguider.org/cheats/durango-wild-lands-guide-tips-cheats-strategies/</x:v>
      </x:c>
    </x:row>
    <x:row r="11" ht="30" customHeight="1">
      <x:c r="A11" s="24" t="str">
        <x:v>S07</x:v>
      </x:c>
      <x:c r="B11" s="24" t="str">
        <x:v>Reddit daily/weekly T-Stones guide</x:v>
      </x:c>
      <x:c r="C11" s="24" t="str">
        <x:v>Butcher 10x daily; Level-30 island weekly objective; rough reward figures</x:v>
      </x:c>
      <x:c r="D11" s="24" t="str">
        <x:v>Player anecdote, amounts not universal</x:v>
      </x:c>
      <x:c r="E11" s="24" t="str">
        <x:v>2019-06</x:v>
      </x:c>
      <x:c r="F11" s="24" t="str">
        <x:v>https://www.reddit.com/r/DurangoWildLands/comments/bvjgh4</x:v>
      </x:c>
    </x:row>
    <x:row r="12" ht="30" customHeight="1">
      <x:c r="A12" s="24" t="str">
        <x:v>S08</x:v>
      </x:c>
      <x:c r="B12" s="24" t="str">
        <x:v>Reddit achievements/SP thread</x:v>
      </x:c>
      <x:c r="C12" s="24" t="str">
        <x:v>Mineral gathering 1000x yields 1 SP; civilized-domain construction tasks</x:v>
      </x:c>
      <x:c r="D12" s="24" t="str">
        <x:v>Player account rather than official record</x:v>
      </x:c>
      <x:c r="E12" s="24" t="str">
        <x:v>2019-08</x:v>
      </x:c>
      <x:c r="F12" s="24" t="str">
        <x:v>https://www.reddit.com/r/DurangoWildLands/comments/cocnny</x:v>
      </x:c>
    </x:row>
    <x:row r="13" ht="30" customHeight="1">
      <x:c r="A13" s="24" t="str">
        <x:v>S09</x:v>
      </x:c>
      <x:c r="B13" s="24" t="str">
        <x:v>Reddit crafting tasks tip</x:v>
      </x:c>
      <x:c r="C13" s="24" t="str">
        <x:v>Leaf outfits and stone blades as daily task examples</x:v>
      </x:c>
      <x:c r="D13" s="24" t="str">
        <x:v>Not verified as exact named tasks</x:v>
      </x:c>
      <x:c r="E13" s="24" t="str">
        <x:v>2019-06</x:v>
      </x:c>
      <x:c r="F13" s="24" t="str">
        <x:v>https://www.reddit.com/r/DurangoWildLands/comments/c296hj</x:v>
      </x:c>
    </x:row>
    <x:row r="14" ht="30" customHeight="1">
      <x:c r="A14" s="24" t="str">
        <x:v>S10</x:v>
      </x:c>
      <x:c r="B14" s="24" t="str">
        <x:v>Reddit task sidebar report</x:v>
      </x:c>
      <x:c r="C14" s="24" t="str">
        <x:v>Original [Daily] Material processing display string</x:v>
      </x:c>
      <x:c r="D14" s="24" t="str">
        <x:v>One user context</x:v>
      </x:c>
      <x:c r="E14" s="24" t="str">
        <x:v>2019-09</x:v>
      </x:c>
      <x:c r="F14" s="24" t="str">
        <x:v>https://www.reddit.com/r/DurangoWildLands/comments/d43xu9</x:v>
      </x:c>
    </x:row>
    <x:row r="15" ht="30" customHeight="1">
      <x:c r="A15" s="24" t="str">
        <x:v>S11</x:v>
      </x:c>
      <x:c r="B15" s="24" t="str">
        <x:v>Korean communication mission reroll guide</x:v>
      </x:c>
      <x:c r="C15" s="24" t="str">
        <x:v>Named difficult task examples; four main factions; reroll 3 charges/30 min</x:v>
      </x:c>
      <x:c r="D15" s="24" t="str">
        <x:v>Korean quest titles translated loosely</x:v>
      </x:c>
      <x:c r="E15" s="24" t="str">
        <x:v>2018-03-21</x:v>
      </x:c>
      <x:c r="F15" s="24" t="str">
        <x:v>https://walkrail.tistory.com/223</x:v>
      </x:c>
    </x:row>
    <x:row r="16" ht="30" customHeight="1">
      <x:c r="A16" s="24" t="str">
        <x:v>S12</x:v>
      </x:c>
      <x:c r="B16" s="24" t="str">
        <x:v>TouchTapPlay faction guide</x:v>
      </x:c>
      <x:c r="C16" s="24" t="str">
        <x:v>Faction names, trust and rewards, repeated mission structure</x:v>
      </x:c>
      <x:c r="D16" s="24" t="str">
        <x:v>General rules, not a per-mission table</x:v>
      </x:c>
      <x:c r="E16" s="24" t="str">
        <x:v>2019-05-13</x:v>
      </x:c>
      <x:c r="F16" s="24" t="str">
        <x:v>https://www.touchtapplay.com/durango-wild-lands-guide-to-support-factions/</x:v>
      </x:c>
    </x:row>
    <x:row r="17" ht="30" customHeight="1">
      <x:c r="A17" s="24" t="str">
        <x:v>S13</x:v>
      </x:c>
      <x:c r="B17" s="24" t="str">
        <x:v>Nexon finale retrospective (Inven NDC21)</x:v>
      </x:c>
      <x:c r="C17" s="24" t="str">
        <x:v>Final 8 quest chain and side-quest mechanics</x:v>
      </x:c>
      <x:c r="D17" s="24" t="str">
        <x:v>Individual chapter names not provided</x:v>
      </x:c>
      <x:c r="E17" s="24" t="str">
        <x:v>2021-06-10</x:v>
      </x:c>
      <x:c r="F17" s="24" t="str">
        <x:v>https://www.inven.co.kr/webzine/news/?game=5137&amp;iskin=mini&amp;news=257238</x:v>
      </x:c>
    </x:row>
    <x:row r="18" ht="30" customHeight="1">
      <x:c r="A18" s="24" t="str">
        <x:v>S14</x:v>
      </x:c>
      <x:c r="B18" s="24" t="str">
        <x:v>MMORPG.com review</x:v>
      </x:c>
      <x:c r="C18" s="24" t="str">
        <x:v>Career guide example of Rank 3 leather outfits; time-gated guide progression</x:v>
      </x:c>
      <x:c r="D18" s="24" t="str">
        <x:v>Some examples not precisely labeled</x:v>
      </x:c>
      <x:c r="E18" s="24" t="str">
        <x:v>2019</x:v>
      </x:c>
      <x:c r="F18" s="24" t="str">
        <x:v>https://www.mmorpg.com/columns/durango-wild-lands-review-big-things-do-come-in-small-packages-2000108364</x:v>
      </x:c>
    </x:row>
    <x:row r="19" ht="30" customHeight="1">
      <x:c r="A19" s="24" t="str">
        <x:v>S15</x:v>
      </x:c>
      <x:c r="B19" s="24" t="str">
        <x:v>Reddit exploration &amp; tasks guide</x:v>
      </x:c>
      <x:c r="C19" s="24" t="str">
        <x:v>Faction missions, support rewards, UI context</x:v>
      </x:c>
      <x:c r="D19" s="24" t="str">
        <x:v>General guide, not full task dataset</x:v>
      </x:c>
      <x:c r="E19" s="24" t="str">
        <x:v>2019</x:v>
      </x:c>
      <x:c r="F19" s="24" t="str">
        <x:v>https://www.reddit.com/r/DurangoWildLands/comments/bp60bc/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0636cfdb0634311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4" hidden="0" customWidth="1"/>
    <x:col min="3" max="3" width="78" hidden="0" customWidth="1"/>
    <x:col min="4" max="4" width="86" hidden="0" customWidth="1"/>
  </x:cols>
  <x:sheetData>
    <x:row r="1" ht="38" customHeight="1">
      <x:c r="A1" s="4" t="str">
        <x:v>MISSING DATA</x:v>
      </x:c>
      <x:c r="B1" s="4"/>
      <x:c r="C1" s="4"/>
      <x:c r="D1" s="4"/>
    </x:row>
    <x:row r="2" ht="28" customHeight="1">
      <x:c r="A2" s="10" t="str">
        <x:v>Research backlog: do not treat missing data as 0 or as never existing</x:v>
      </x:c>
      <x:c r="B2" s="10"/>
      <x:c r="C2" s="10"/>
      <x:c r="D2" s="10"/>
    </x:row>
    <x:row r="4" ht="28" customHeight="1">
      <x:c r="A4" s="17" t="str">
        <x:v>Subsystem</x:v>
      </x:c>
      <x:c r="B4" s="17" t="str">
        <x:v>Coverage gap</x:v>
      </x:c>
      <x:c r="C4" s="17" t="str">
        <x:v>What is missing</x:v>
      </x:c>
      <x:c r="D4" s="17" t="str">
        <x:v>Suggested verification path</x:v>
      </x:c>
    </x:row>
    <x:row r="5" ht="30" customHeight="1">
      <x:c r="A5" s="24" t="str">
        <x:v>ALL</x:v>
      </x:c>
      <x:c r="B5" s="24" t="str">
        <x:v>Completeness</x:v>
      </x:c>
      <x:c r="C5" s="24" t="str">
        <x:v>No full official 2019 in-game Task UI dump survived in accessible sources.</x:v>
      </x:c>
      <x:c r="D5" s="24" t="str">
        <x:v>Need original client text assets, game dumps, UI screenshots or reliable community exports.</x:v>
      </x:c>
    </x:row>
    <x:row r="6" ht="30" customHeight="1">
      <x:c r="A6" s="24" t="str">
        <x:v>Faction missions</x:v>
      </x:c>
      <x:c r="B6" s="24" t="str">
        <x:v>Level 10–55</x:v>
      </x:c>
      <x:c r="C6" s="24" t="str">
        <x:v>Available named mission table covers selected Lv. 60 island biomes; earlier missions not listed.</x:v>
      </x:c>
      <x:c r="D6" s="24" t="str">
        <x:v>Scrape archived clients or other mission sheets.</x:v>
      </x:c>
    </x:row>
    <x:row r="7" ht="30" customHeight="1">
      <x:c r="A7" s="24" t="str">
        <x:v>Faction missions</x:v>
      </x:c>
      <x:c r="B7" s="24" t="str">
        <x:v>Faction assignment</x:v>
      </x:c>
      <x:c r="C7" s="24" t="str">
        <x:v>Some mission faction columns are damaged by Scribd text extraction.</x:v>
      </x:c>
      <x:c r="D7" s="24" t="str">
        <x:v>Find original structured Google Sheet or high-resolution scan.</x:v>
      </x:c>
    </x:row>
    <x:row r="8" ht="30" customHeight="1">
      <x:c r="A8" s="24" t="str">
        <x:v>Faction missions</x:v>
      </x:c>
      <x:c r="B8" s="24" t="str">
        <x:v>Quest rewards</x:v>
      </x:c>
      <x:c r="C8" s="24" t="str">
        <x:v>Most per-quest XP / T-Stone / trust values are not archived.</x:v>
      </x:c>
      <x:c r="D8" s="24" t="str">
        <x:v>Use game asset data / screenshots; do not assume same values.</x:v>
      </x:c>
    </x:row>
    <x:row r="9" ht="30" customHeight="1">
      <x:c r="A9" s="24" t="str">
        <x:v>Daily tasks</x:v>
      </x:c>
      <x:c r="B9" s="24" t="str">
        <x:v>Full list &amp; counts</x:v>
      </x:c>
      <x:c r="C9" s="24" t="str">
        <x:v>Only a few individual examples were found, not a complete daily table.</x:v>
      </x:c>
      <x:c r="D9" s="24" t="str">
        <x:v>Capture task-board screens, translated resources, original game JSON.</x:v>
      </x:c>
    </x:row>
    <x:row r="10" ht="30" customHeight="1">
      <x:c r="A10" s="24" t="str">
        <x:v>Weekly tasks</x:v>
      </x:c>
      <x:c r="B10" s="24" t="str">
        <x:v>Full list &amp; rewards</x:v>
      </x:c>
      <x:c r="C10" s="24" t="str">
        <x:v>Only one weekly example and a rough reward value recovered.</x:v>
      </x:c>
      <x:c r="D10" s="24" t="str">
        <x:v>Find weekly-board captures.</x:v>
      </x:c>
    </x:row>
    <x:row r="11" ht="30" customHeight="1">
      <x:c r="A11" s="24" t="str">
        <x:v>In-game achievements</x:v>
      </x:c>
      <x:c r="B11" s="24" t="str">
        <x:v>Complete list</x:v>
      </x:c>
      <x:c r="C11" s="24" t="str">
        <x:v>Exophase's 16 achievements are Google Play achievements, not the in-game achievement catalog.</x:v>
      </x:c>
      <x:c r="D11" s="24" t="str">
        <x:v>Recover game achievement config/strings.</x:v>
      </x:c>
    </x:row>
    <x:row r="12" ht="30" customHeight="1">
      <x:c r="A12" s="24" t="str">
        <x:v>Career guides</x:v>
      </x:c>
      <x:c r="B12" s="24" t="str">
        <x:v>Individual checklist</x:v>
      </x:c>
      <x:c r="C12" s="24" t="str">
        <x:v>58 named career titles with bonuses recovered; detailed requirements unavailable for 57.</x:v>
      </x:c>
      <x:c r="D12" s="24" t="str">
        <x:v>Skill configuration extraction or screenshot records.</x:v>
      </x:c>
    </x:row>
    <x:row r="13" ht="30" customHeight="1">
      <x:c r="A13" s="24" t="str">
        <x:v>Storyline</x:v>
      </x:c>
      <x:c r="B13" s="24" t="str">
        <x:v>Final chapters</x:v>
      </x:c>
      <x:c r="C13" s="24" t="str">
        <x:v>8-quest finale verified, individual chapter names and exact tasks missing.</x:v>
      </x:c>
      <x:c r="D13" s="24" t="str">
        <x:v>Search Korean ending quest archives.</x:v>
      </x:c>
    </x:row>
    <x:row r="14" ht="30" customHeight="1">
      <x:c r="A14" s="24" t="str">
        <x:v>Events</x:v>
      </x:c>
      <x:c r="B14" s="24" t="str">
        <x:v>Seasonal tasks</x:v>
      </x:c>
      <x:c r="C14" s="24" t="str">
        <x:v>Limited event quests exist, but no complete event quest list.</x:v>
      </x:c>
      <x:c r="D14" s="24" t="str">
        <x:v>Archived news/event patch notes or client assets.</x:v>
      </x:c>
    </x:row>
    <x:row r="15" ht="30" customHeight="1">
      <x:c r="A15" s="24" t="str">
        <x:v>Versioning</x:v>
      </x:c>
      <x:c r="B15" s="24" t="str">
        <x:v>2017 vs 2019</x:v>
      </x:c>
      <x:c r="C15" s="24" t="str">
        <x:v>The game changed between 2017 beta, 2018 Korean launch, 2019 global launch, and final sunset.</x:v>
      </x:c>
      <x:c r="D15" s="24" t="str">
        <x:v>Track content by build date where discoverable.</x:v>
      </x:c>
    </x:row>
    <x:row r="16" ht="30" customHeight="1">
      <x:c r="A16" s="24" t="str">
        <x:v>Task labels</x:v>
      </x:c>
      <x:c r="B16" s="24" t="str">
        <x:v>Normalized English</x:v>
      </x:c>
      <x:c r="C16" s="24" t="str">
        <x:v>A few titles use OCR-cleaned spelling/capitalization and some groupings are reconstructed.</x:v>
      </x:c>
      <x:c r="D16" s="24" t="str">
        <x:v>Compare to original English localization before canonicalizing.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3acba71963c429b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75" hidden="0" customWidth="1"/>
    <x:col min="4" max="4" width="3" hidden="0" customWidth="1"/>
    <x:col min="5" max="5" width="22" hidden="0" customWidth="1"/>
    <x:col min="6" max="6" width="23" hidden="0" customWidth="1"/>
    <x:col min="7" max="7" width="20" hidden="0" customWidth="1"/>
    <x:col min="8" max="8" width="20" hidden="0" customWidth="1"/>
  </x:cols>
  <x:sheetData>
    <x:row r="1" ht="48" customHeight="1">
      <x:c r="A1" s="29" t="str">
        <x:v>DURANGO: WILD LANDS | TASK ARCHIVE</x:v>
      </x:c>
      <x:c r="B1" s="29"/>
      <x:c r="C1" s="29"/>
      <x:c r="D1" s="29"/>
      <x:c r="E1" s="29"/>
      <x:c r="F1" s="29"/>
      <x:c r="G1" s="29"/>
      <x:c r="H1" s="29"/>
    </x:row>
    <x:row r="2" ht="32" customHeight="1">
      <x:c r="A2" s="9" t="str">
        <x:v>Reconstructed tasks, faction commissions, career-guide milestones, platform achievements, and events | researched 2026-10-28</x:v>
      </x:c>
      <x:c r="B2" s="9"/>
      <x:c r="C2" s="9"/>
      <x:c r="D2" s="9"/>
      <x:c r="E2" s="9"/>
      <x:c r="F2" s="9"/>
      <x:c r="G2" s="9"/>
      <x:c r="H2" s="9"/>
    </x:row>
    <x:row r="4" ht="27" customHeight="1">
      <x:c r="A4" s="32" t="str">
        <x:v>RESEARCH SNAPSHOT</x:v>
      </x:c>
      <x:c r="B4" s="32" t="str">
        <x:v>COUNT</x:v>
      </x:c>
    </x:row>
    <x:row r="5">
      <x:c r="A5" t="str">
        <x:v>Catalog records (including grouped examples)</x:v>
      </x:c>
      <x:c r="B5" t="n">
        <x:f>COUNTA('Task Catalog'!C5:C500)</x:f>
        <x:v>137</x:v>
      </x:c>
    </x:row>
    <x:row r="6">
      <x:c r="A6" t="str">
        <x:v>Original faction commissions identified</x:v>
      </x:c>
      <x:c r="B6" t="n">
        <x:f>COUNTIF('Task Catalog'!B5:B500,"Communication missions")</x:f>
        <x:v>42</x:v>
      </x:c>
    </x:row>
    <x:row r="7">
      <x:c r="A7" t="str">
        <x:v>Career-guide completion titles</x:v>
      </x:c>
      <x:c r="B7" t="n">
        <x:f>COUNTIF('Task Catalog'!B5:B500,"Career guides")</x:f>
        <x:v>58</x:v>
      </x:c>
    </x:row>
    <x:row r="8">
      <x:c r="A8" t="str">
        <x:v>Google Play platform achievements</x:v>
      </x:c>
      <x:c r="B8" t="n">
        <x:f>COUNTIF('Task Catalog'!B5:B500,"Google Play achievements")</x:f>
        <x:v>16</x:v>
      </x:c>
    </x:row>
    <x:row r="9">
      <x:c r="A9" t="str">
        <x:v>All other task/objective records</x:v>
      </x:c>
      <x:c r="B9" t="n">
        <x:f>B5-SUM(B6:B8)</x:f>
        <x:v>21</x:v>
      </x:c>
    </x:row>
    <x:row r="11" ht="26" customHeight="1">
      <x:c r="A11" s="32" t="str">
        <x:v>SYSTEM</x:v>
      </x:c>
      <x:c r="B11" s="32" t="str">
        <x:v>RECORDS</x:v>
      </x:c>
      <x:c r="C11" s="32" t="str">
        <x:v>COVERAGE NOTE</x:v>
      </x:c>
    </x:row>
    <x:row r="12" ht="32" customHeight="1">
      <x:c r="A12" s="24" t="str">
        <x:v>Communication missions</x:v>
      </x:c>
      <x:c r="B12" s="24" t="n">
        <x:f>COUNTIF('Task Catalog'!$B$5:$B$500,A12)</x:f>
        <x:v>42</x:v>
      </x:c>
      <x:c r="C12" s="24" t="str">
        <x:v>Selected named Level-60 commissions, not all islands/levels</x:v>
      </x:c>
    </x:row>
    <x:row r="13" ht="32" customHeight="1">
      <x:c r="A13" s="24" t="str">
        <x:v>Career guides</x:v>
      </x:c>
      <x:c r="B13" s="24" t="n">
        <x:f>COUNTIF('Task Catalog'!$B$5:$B$500,A13)</x:f>
        <x:v>58</x:v>
      </x:c>
      <x:c r="C13" s="24" t="str">
        <x:v>Guide titles / completion bonuses, individual checklists mostly missing</x:v>
      </x:c>
    </x:row>
    <x:row r="14" ht="32" customHeight="1">
      <x:c r="A14" s="24" t="str">
        <x:v>Google Play achievements</x:v>
      </x:c>
      <x:c r="B14" s="24" t="n">
        <x:f>COUNTIF('Task Catalog'!$B$5:$B$500,A14)</x:f>
        <x:v>16</x:v>
      </x:c>
      <x:c r="C14" s="24" t="str">
        <x:v>Platform-level list, not in-game achievement list</x:v>
      </x:c>
    </x:row>
    <x:row r="15" ht="32" customHeight="1">
      <x:c r="A15" s="24" t="str">
        <x:v>Daily tasks</x:v>
      </x:c>
      <x:c r="B15" s="24" t="n">
        <x:f>COUNTIF('Task Catalog'!$B$5:$B$500,A15)</x:f>
        <x:v>8</x:v>
      </x:c>
      <x:c r="C15" s="24" t="str">
        <x:v>Sample tasks and generic descriptions, not a complete list</x:v>
      </x:c>
    </x:row>
    <x:row r="16" ht="32" customHeight="1">
      <x:c r="A16" s="24" t="str">
        <x:v>Weekly tasks</x:v>
      </x:c>
      <x:c r="B16" s="24" t="n">
        <x:f>COUNTIF('Task Catalog'!$B$5:$B$500,A16)</x:f>
        <x:v>1</x:v>
      </x:c>
      <x:c r="C16" s="24" t="str">
        <x:v>One documented example only</x:v>
      </x:c>
    </x:row>
    <x:row r="17" ht="32" customHeight="1">
      <x:c r="A17" s="24" t="str">
        <x:v>In-game achievements</x:v>
      </x:c>
      <x:c r="B17" s="24" t="n">
        <x:f>COUNTIF('Task Catalog'!$B$5:$B$500,A17)</x:f>
        <x:v>1</x:v>
      </x:c>
      <x:c r="C17" s="24" t="str">
        <x:v>One achievement requirement reconstructed</x:v>
      </x:c>
    </x:row>
    <x:row r="18" ht="32" customHeight="1">
      <x:c r="A18" s="24" t="str">
        <x:v>Career / construction tasks</x:v>
      </x:c>
      <x:c r="B18" s="24" t="n">
        <x:f>COUNTIF('Task Catalog'!$B$5:$B$500,A18)</x:f>
        <x:v>3</x:v>
      </x:c>
      <x:c r="C18" s="24" t="str">
        <x:v>A few examples, including civil domain SP tasks</x:v>
      </x:c>
    </x:row>
    <x:row r="19" ht="32" customHeight="1">
      <x:c r="A19" s="24" t="str">
        <x:v>General / tutorial</x:v>
      </x:c>
      <x:c r="B19" s="24" t="n">
        <x:f>COUNTIF('Task Catalog'!$B$5:$B$500,A19)</x:f>
        <x:v>1</x:v>
      </x:c>
      <x:c r="C19" s="24" t="str">
        <x:v>One named quest</x:v>
      </x:c>
    </x:row>
    <x:row r="20" ht="32" customHeight="1">
      <x:c r="A20" s="24" t="str">
        <x:v>Events / special quests</x:v>
      </x:c>
      <x:c r="B20" s="24" t="n">
        <x:f>COUNTIF('Task Catalog'!$B$5:$B$500,A20)</x:f>
        <x:v>6</x:v>
      </x:c>
      <x:c r="C20" s="24" t="str">
        <x:v>Limited-time story/title tasks</x:v>
      </x:c>
    </x:row>
    <x:row r="21" ht="32" customHeight="1">
      <x:c r="A21" s="24" t="str">
        <x:v>Endgame story</x:v>
      </x:c>
      <x:c r="B21" s="24" t="n">
        <x:f>COUNTIF('Task Catalog'!$B$5:$B$500,A21)</x:f>
        <x:v>1</x:v>
      </x:c>
      <x:c r="C21" s="24" t="str">
        <x:v>Eight-part finale grouped into one record</x:v>
      </x:c>
    </x:row>
    <x:row r="24" ht="27" customHeight="1">
      <x:c r="A24" s="35" t="str">
        <x:v>IMPORTANT DISTINCTIONS</x:v>
      </x:c>
      <x:c r="B24" s="35"/>
      <x:c r="C24" s="35"/>
      <x:c r="D24" s="35"/>
      <x:c r="E24" s="35"/>
      <x:c r="F24" s="35"/>
      <x:c r="G24" s="35"/>
      <x:c r="H24" s="35"/>
    </x:row>
    <x:row r="25" ht="26" customHeight="1">
      <x:c r="A25" s="39" t="str">
        <x:v>A named career-guide TITLE is a one-time completion reward, not necessarily the literal task-board caption.</x:v>
      </x:c>
      <x:c r="B25" s="39"/>
      <x:c r="C25" s="39"/>
      <x:c r="D25" s="39"/>
      <x:c r="E25" s="39"/>
      <x:c r="F25" s="39"/>
      <x:c r="G25" s="39"/>
      <x:c r="H25" s="39"/>
    </x:row>
    <x:row r="26" ht="26" customHeight="1">
      <x:c r="A26" s="39" t="str">
        <x:v>Google Play achievements are separate from the much larger in-game achievement system.</x:v>
      </x:c>
      <x:c r="B26" s="39"/>
      <x:c r="C26" s="39"/>
      <x:c r="D26" s="39"/>
      <x:c r="E26" s="39"/>
      <x:c r="F26" s="39"/>
      <x:c r="G26" s="39"/>
      <x:c r="H26" s="39"/>
    </x:row>
    <x:row r="27" ht="26" customHeight="1">
      <x:c r="A27" s="39" t="str">
        <x:v>Named mission titles are mostly intact; some factions are tentative and several objectives have no surviving official name.</x:v>
      </x:c>
      <x:c r="B27" s="39"/>
      <x:c r="C27" s="39"/>
      <x:c r="D27" s="39"/>
      <x:c r="E27" s="39"/>
      <x:c r="F27" s="39"/>
      <x:c r="G27" s="39"/>
      <x:c r="H27" s="39"/>
    </x:row>
    <x:row r="28" ht="26" customHeight="1">
      <x:c r="A28" s="39" t="str">
        <x:v>Lv. 35/40/45 in the faction tab refers to the MINIMUM REQUESTED ITEM LEVEL in the archive, not the player's required level.</x:v>
      </x:c>
      <x:c r="B28" s="39"/>
      <x:c r="C28" s="39"/>
      <x:c r="D28" s="39"/>
      <x:c r="E28" s="39"/>
      <x:c r="F28" s="39"/>
      <x:c r="G28" s="39"/>
      <x:c r="H28" s="39"/>
    </x:row>
    <x:row r="29" ht="26" customHeight="1">
      <x:c r="A29" s="39" t="str">
        <x:v>Blank fields are unknown. Grouped quest series and illustrative objectives are NOT counted as individually verified quests.</x:v>
      </x:c>
      <x:c r="B29" s="39"/>
      <x:c r="C29" s="39"/>
      <x:c r="D29" s="39"/>
      <x:c r="E29" s="39"/>
      <x:c r="F29" s="39"/>
      <x:c r="G29" s="39"/>
      <x:c r="H29" s="39"/>
    </x:row>
    <x:row r="31" ht="25" customHeight="1">
      <x:c r="A31" s="32" t="str">
        <x:v>WORKBOOK NAVIGATION</x:v>
      </x:c>
      <x:c r="B31" s="32"/>
      <x:c r="C31" s="32"/>
      <x:c r="D31" s="32"/>
      <x:c r="E31" s="32"/>
      <x:c r="F31" s="32"/>
      <x:c r="G31" s="32"/>
      <x:c r="H31" s="32"/>
    </x:row>
    <x:row r="32" ht="32" customHeight="1">
      <x:c r="A32" s="43" t="str">
        <x:v>Task Catalog: full, filterable | Faction Missions: 42 | Career Guides: 58 | Google Achievements: 16 | Task Board | Events and Finale | Faction Rank Titles | Sources | Missing Data</x:v>
      </x:c>
      <x:c r="B32" s="43"/>
      <x:c r="C32" s="43"/>
      <x:c r="D32" s="43"/>
      <x:c r="E32" s="43"/>
      <x:c r="F32" s="43"/>
      <x:c r="G32" s="43"/>
      <x:c r="H32" s="43"/>
    </x:row>
  </x:sheetData>
  <x:mergeCells>
    <x:mergeCell ref="A1:H1"/>
    <x:mergeCell ref="A2:H2"/>
    <x:mergeCell ref="A24:H24"/>
    <x:mergeCell ref="A25:H25"/>
    <x:mergeCell ref="A26:H26"/>
    <x:mergeCell ref="A27:H27"/>
    <x:mergeCell ref="A28:H28"/>
    <x:mergeCell ref="A29:H29"/>
    <x:mergeCell ref="A31:H31"/>
    <x:mergeCell ref="A32:H32"/>
  </x:mergeCells>
  <x:pageMargins left="0.7" right="0.7" top="0.75" bottom="0.75" header="0.3" footer="0.3"/>
</x:worksheet>
</file>